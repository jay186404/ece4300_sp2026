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Graphs" sheetId="2" r:id="rId6"/>
  </sheets>
  <definedNames/>
  <calcPr/>
</workbook>
</file>

<file path=xl/sharedStrings.xml><?xml version="1.0" encoding="utf-8"?>
<sst xmlns="http://schemas.openxmlformats.org/spreadsheetml/2006/main" count="154" uniqueCount="29">
  <si>
    <t>Raw Results</t>
  </si>
  <si>
    <t>Performance</t>
  </si>
  <si>
    <t>Throughput</t>
  </si>
  <si>
    <t>Area</t>
  </si>
  <si>
    <t>Frequency</t>
  </si>
  <si>
    <t>Implementation</t>
  </si>
  <si>
    <t>Number of Ops</t>
  </si>
  <si>
    <t>Clock Cycles</t>
  </si>
  <si>
    <t>Total Time (s)</t>
  </si>
  <si>
    <t>STATS</t>
  </si>
  <si>
    <t>Total Time</t>
  </si>
  <si>
    <t>Build Resources</t>
  </si>
  <si>
    <t>Easy</t>
  </si>
  <si>
    <t>BASE (no changes) - Performance, No Cache</t>
  </si>
  <si>
    <t>Avg</t>
  </si>
  <si>
    <t>LUT</t>
  </si>
  <si>
    <t>St. Dev</t>
  </si>
  <si>
    <t>FF</t>
  </si>
  <si>
    <t>Min</t>
  </si>
  <si>
    <t>BRAM</t>
  </si>
  <si>
    <t>Max</t>
  </si>
  <si>
    <t>Medium</t>
  </si>
  <si>
    <t>Hard</t>
  </si>
  <si>
    <t>Relative Performance for easier comparison</t>
  </si>
  <si>
    <t>Clock Cycle</t>
  </si>
  <si>
    <t>Throughput, No Cache</t>
  </si>
  <si>
    <t>Area, No Cache</t>
  </si>
  <si>
    <t>Frequency, No Cache</t>
  </si>
  <si>
    <t>Performance, With 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</si>
</sst>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0" fillId="2" fontId="2" numFmtId="0" xfId="0" applyFill="1" applyFont="1"/>
    <xf borderId="0" fillId="0" fontId="2" numFmtId="0" xfId="0" applyFont="1"/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vertical="bottom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Board Hardware Usage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'Raw Data'!$Q$18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'Raw Data'!$R$17:$U$17</c:f>
            </c:strRef>
          </c:cat>
          <c:val>
            <c:numRef>
              <c:f>'Raw Data'!$R$18:$U$18</c:f>
              <c:numCache/>
            </c:numRef>
          </c:val>
        </c:ser>
        <c:ser>
          <c:idx val="1"/>
          <c:order val="1"/>
          <c:tx>
            <c:strRef>
              <c:f>'Raw Data'!$Q$19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'Raw Data'!$R$17:$U$17</c:f>
            </c:strRef>
          </c:cat>
          <c:val>
            <c:numRef>
              <c:f>'Raw Data'!$R$19:$U$19</c:f>
              <c:numCache/>
            </c:numRef>
          </c:val>
        </c:ser>
        <c:axId val="139810257"/>
        <c:axId val="611790313"/>
      </c:barChart>
      <c:catAx>
        <c:axId val="139810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790313"/>
      </c:catAx>
      <c:valAx>
        <c:axId val="611790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102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Clock Cycle Relative Comparisons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'Raw Data'!$R$25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'Raw Data'!$Q$26:$Q$28</c:f>
            </c:strRef>
          </c:cat>
          <c:val>
            <c:numRef>
              <c:f>'Raw Data'!$R$26:$R$28</c:f>
              <c:numCache/>
            </c:numRef>
          </c:val>
        </c:ser>
        <c:ser>
          <c:idx val="1"/>
          <c:order val="1"/>
          <c:tx>
            <c:strRef>
              <c:f>'Raw Data'!$S$25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'Raw Data'!$Q$26:$Q$28</c:f>
            </c:strRef>
          </c:cat>
          <c:val>
            <c:numRef>
              <c:f>'Raw Data'!$S$26:$S$28</c:f>
              <c:numCache/>
            </c:numRef>
          </c:val>
        </c:ser>
        <c:ser>
          <c:idx val="2"/>
          <c:order val="2"/>
          <c:tx>
            <c:strRef>
              <c:f>'Raw Data'!$T$25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'Raw Data'!$Q$26:$Q$28</c:f>
            </c:strRef>
          </c:cat>
          <c:val>
            <c:numRef>
              <c:f>'Raw Data'!$T$26:$T$28</c:f>
              <c:numCache/>
            </c:numRef>
          </c:val>
        </c:ser>
        <c:ser>
          <c:idx val="3"/>
          <c:order val="3"/>
          <c:tx>
            <c:strRef>
              <c:f>'Raw Data'!$U$25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'Raw Data'!$Q$26:$Q$28</c:f>
            </c:strRef>
          </c:cat>
          <c:val>
            <c:numRef>
              <c:f>'Raw Data'!$U$26:$U$28</c:f>
              <c:numCache/>
            </c:numRef>
          </c:val>
        </c:ser>
        <c:axId val="734523809"/>
        <c:axId val="1239483758"/>
      </c:barChart>
      <c:catAx>
        <c:axId val="734523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483758"/>
      </c:catAx>
      <c:valAx>
        <c:axId val="1239483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45238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Time Relative Comparisons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'Raw Data'!$R$31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'Raw Data'!$Q$32:$Q$34</c:f>
            </c:strRef>
          </c:cat>
          <c:val>
            <c:numRef>
              <c:f>'Raw Data'!$R$32:$R$34</c:f>
              <c:numCache/>
            </c:numRef>
          </c:val>
        </c:ser>
        <c:ser>
          <c:idx val="1"/>
          <c:order val="1"/>
          <c:tx>
            <c:strRef>
              <c:f>'Raw Data'!$S$31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'Raw Data'!$Q$32:$Q$34</c:f>
            </c:strRef>
          </c:cat>
          <c:val>
            <c:numRef>
              <c:f>'Raw Data'!$S$32:$S$34</c:f>
              <c:numCache/>
            </c:numRef>
          </c:val>
        </c:ser>
        <c:ser>
          <c:idx val="2"/>
          <c:order val="2"/>
          <c:tx>
            <c:strRef>
              <c:f>'Raw Data'!$T$31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'Raw Data'!$Q$32:$Q$34</c:f>
            </c:strRef>
          </c:cat>
          <c:val>
            <c:numRef>
              <c:f>'Raw Data'!$T$32:$T$34</c:f>
              <c:numCache/>
            </c:numRef>
          </c:val>
        </c:ser>
        <c:ser>
          <c:idx val="3"/>
          <c:order val="3"/>
          <c:tx>
            <c:strRef>
              <c:f>'Raw Data'!$U$31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'Raw Data'!$Q$32:$Q$34</c:f>
            </c:strRef>
          </c:cat>
          <c:val>
            <c:numRef>
              <c:f>'Raw Data'!$U$32:$U$34</c:f>
              <c:numCache/>
            </c:numRef>
          </c:val>
        </c:ser>
        <c:axId val="1999066428"/>
        <c:axId val="2077332248"/>
      </c:barChart>
      <c:catAx>
        <c:axId val="1999066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7332248"/>
      </c:catAx>
      <c:valAx>
        <c:axId val="2077332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90664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Throughput Relative Comparisons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'Raw Data'!$R$37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'Raw Data'!$Q$38:$Q$40</c:f>
            </c:strRef>
          </c:cat>
          <c:val>
            <c:numRef>
              <c:f>'Raw Data'!$R$38:$R$40</c:f>
              <c:numCache/>
            </c:numRef>
          </c:val>
        </c:ser>
        <c:ser>
          <c:idx val="1"/>
          <c:order val="1"/>
          <c:tx>
            <c:strRef>
              <c:f>'Raw Data'!$S$37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'Raw Data'!$Q$38:$Q$40</c:f>
            </c:strRef>
          </c:cat>
          <c:val>
            <c:numRef>
              <c:f>'Raw Data'!$S$38:$S$40</c:f>
              <c:numCache/>
            </c:numRef>
          </c:val>
        </c:ser>
        <c:ser>
          <c:idx val="2"/>
          <c:order val="2"/>
          <c:tx>
            <c:strRef>
              <c:f>'Raw Data'!$T$37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'Raw Data'!$Q$38:$Q$40</c:f>
            </c:strRef>
          </c:cat>
          <c:val>
            <c:numRef>
              <c:f>'Raw Data'!$T$38:$T$40</c:f>
              <c:numCache/>
            </c:numRef>
          </c:val>
        </c:ser>
        <c:ser>
          <c:idx val="3"/>
          <c:order val="3"/>
          <c:tx>
            <c:strRef>
              <c:f>'Raw Data'!$U$37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'Raw Data'!$Q$38:$Q$40</c:f>
            </c:strRef>
          </c:cat>
          <c:val>
            <c:numRef>
              <c:f>'Raw Data'!$U$38:$U$40</c:f>
              <c:numCache/>
            </c:numRef>
          </c:val>
        </c:ser>
        <c:axId val="1713439661"/>
        <c:axId val="1590219454"/>
      </c:barChart>
      <c:catAx>
        <c:axId val="1713439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0219454"/>
      </c:catAx>
      <c:valAx>
        <c:axId val="1590219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34396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504825</xdr:colOff>
      <xdr:row>39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561975</xdr:colOff>
      <xdr:row>21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504825</xdr:colOff>
      <xdr:row>21</xdr:row>
      <xdr:rowOff>104775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561975</xdr:colOff>
      <xdr:row>39</xdr:row>
      <xdr:rowOff>19050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</cols>
  <sheetData>
    <row r="1">
      <c r="A1" s="1"/>
      <c r="B1" s="1"/>
      <c r="C1" s="2" t="s">
        <v>0</v>
      </c>
      <c r="R1" s="1" t="s">
        <v>1</v>
      </c>
      <c r="S1" s="1" t="s">
        <v>2</v>
      </c>
      <c r="T1" s="1" t="s">
        <v>3</v>
      </c>
      <c r="U1" s="2" t="s">
        <v>4</v>
      </c>
      <c r="V1" s="1"/>
    </row>
    <row r="2">
      <c r="A2" s="1" t="s">
        <v>5</v>
      </c>
      <c r="B2" s="1"/>
      <c r="C2" s="1" t="s">
        <v>6</v>
      </c>
      <c r="D2" s="1" t="s">
        <v>7</v>
      </c>
      <c r="E2" s="2" t="s">
        <v>8</v>
      </c>
      <c r="F2" s="1" t="s">
        <v>2</v>
      </c>
      <c r="G2" s="3" t="s">
        <v>9</v>
      </c>
      <c r="H2" s="1" t="s">
        <v>6</v>
      </c>
      <c r="I2" s="1" t="s">
        <v>7</v>
      </c>
      <c r="J2" s="1" t="s">
        <v>10</v>
      </c>
      <c r="K2" s="1" t="s">
        <v>2</v>
      </c>
      <c r="M2" s="3" t="s">
        <v>11</v>
      </c>
      <c r="P2" s="3" t="s">
        <v>12</v>
      </c>
    </row>
    <row r="3">
      <c r="A3" s="1" t="s">
        <v>13</v>
      </c>
      <c r="B3" s="4" t="s">
        <v>12</v>
      </c>
      <c r="C3" s="5">
        <v>307.0</v>
      </c>
      <c r="D3" s="2">
        <v>2082800.0</v>
      </c>
      <c r="E3" s="5">
        <v>0.020828</v>
      </c>
      <c r="F3" s="6">
        <v>14739.0</v>
      </c>
      <c r="G3" s="1" t="s">
        <v>14</v>
      </c>
      <c r="H3" s="7">
        <f t="shared" ref="H3:K3" si="1">AVERAGE(C3:C12)</f>
        <v>307</v>
      </c>
      <c r="I3" s="7">
        <f t="shared" si="1"/>
        <v>2082806.25</v>
      </c>
      <c r="J3" s="7">
        <f t="shared" si="1"/>
        <v>0.020828</v>
      </c>
      <c r="K3" s="7">
        <f t="shared" si="1"/>
        <v>14739</v>
      </c>
      <c r="M3" s="3" t="s">
        <v>15</v>
      </c>
      <c r="N3" s="3">
        <v>2740.0</v>
      </c>
      <c r="Q3" s="3" t="s">
        <v>7</v>
      </c>
      <c r="R3" s="8">
        <f>I3</f>
        <v>2082806.25</v>
      </c>
      <c r="S3" s="8">
        <f>I34</f>
        <v>2082805</v>
      </c>
      <c r="T3" s="8">
        <v>2082746.75</v>
      </c>
      <c r="U3" s="8">
        <v>2082644.0</v>
      </c>
    </row>
    <row r="4">
      <c r="A4" s="1"/>
      <c r="B4" s="9"/>
      <c r="C4" s="2">
        <v>307.0</v>
      </c>
      <c r="D4" s="2">
        <v>2082823.0</v>
      </c>
      <c r="E4" s="2">
        <v>0.020828</v>
      </c>
      <c r="F4" s="10">
        <v>14739.0</v>
      </c>
      <c r="G4" s="1" t="s">
        <v>16</v>
      </c>
      <c r="H4" s="8">
        <f t="shared" ref="H4:K4" si="2">STDEV(C3:C12)</f>
        <v>0</v>
      </c>
      <c r="I4" s="8">
        <f t="shared" si="2"/>
        <v>11.20639698</v>
      </c>
      <c r="J4" s="8">
        <f t="shared" si="2"/>
        <v>0</v>
      </c>
      <c r="K4" s="8">
        <f t="shared" si="2"/>
        <v>0</v>
      </c>
      <c r="M4" s="3" t="s">
        <v>17</v>
      </c>
      <c r="N4" s="3">
        <v>2474.0</v>
      </c>
      <c r="Q4" s="3" t="s">
        <v>10</v>
      </c>
      <c r="R4" s="8">
        <f>J3</f>
        <v>0.020828</v>
      </c>
      <c r="S4" s="8">
        <v>0.020828</v>
      </c>
      <c r="T4" s="8">
        <v>0.020827</v>
      </c>
      <c r="U4" s="8">
        <v>0.020826</v>
      </c>
    </row>
    <row r="5">
      <c r="A5" s="1"/>
      <c r="B5" s="9"/>
      <c r="C5" s="2">
        <v>307.0</v>
      </c>
      <c r="D5" s="2">
        <v>2082800.0</v>
      </c>
      <c r="E5" s="2">
        <v>0.020828</v>
      </c>
      <c r="F5" s="10">
        <v>14739.0</v>
      </c>
      <c r="G5" s="1" t="s">
        <v>18</v>
      </c>
      <c r="H5" s="8">
        <f t="shared" ref="H5:K5" si="3">Min(C3:C12)</f>
        <v>307</v>
      </c>
      <c r="I5" s="8">
        <f t="shared" si="3"/>
        <v>2082800</v>
      </c>
      <c r="J5" s="8">
        <f t="shared" si="3"/>
        <v>0.020828</v>
      </c>
      <c r="K5" s="8">
        <f t="shared" si="3"/>
        <v>14739</v>
      </c>
      <c r="M5" s="3" t="s">
        <v>19</v>
      </c>
      <c r="N5" s="3">
        <v>32.0</v>
      </c>
      <c r="Q5" s="3" t="s">
        <v>2</v>
      </c>
      <c r="R5" s="8">
        <f>K3</f>
        <v>14739</v>
      </c>
      <c r="S5" s="8">
        <v>14739.0</v>
      </c>
      <c r="T5" s="8">
        <v>14740.0</v>
      </c>
      <c r="U5" s="8">
        <v>14740.0</v>
      </c>
    </row>
    <row r="6">
      <c r="A6" s="1"/>
      <c r="B6" s="9"/>
      <c r="C6" s="2">
        <v>307.0</v>
      </c>
      <c r="D6" s="2">
        <v>2082802.0</v>
      </c>
      <c r="E6" s="2">
        <v>0.020828</v>
      </c>
      <c r="F6" s="10">
        <v>14739.0</v>
      </c>
      <c r="G6" s="1" t="s">
        <v>20</v>
      </c>
      <c r="H6" s="8">
        <f t="shared" ref="H6:K6" si="4">MAX(C3:C12)</f>
        <v>307</v>
      </c>
      <c r="I6" s="8">
        <f t="shared" si="4"/>
        <v>2082823</v>
      </c>
      <c r="J6" s="8">
        <f t="shared" si="4"/>
        <v>0.020828</v>
      </c>
      <c r="K6" s="8">
        <f t="shared" si="4"/>
        <v>14739</v>
      </c>
    </row>
    <row r="7">
      <c r="A7" s="1"/>
      <c r="B7" s="9"/>
      <c r="C7" s="1"/>
      <c r="D7" s="1"/>
      <c r="E7" s="1"/>
      <c r="F7" s="11"/>
      <c r="G7" s="1"/>
      <c r="P7" s="3" t="s">
        <v>21</v>
      </c>
    </row>
    <row r="8">
      <c r="A8" s="1"/>
      <c r="B8" s="9"/>
      <c r="C8" s="1"/>
      <c r="D8" s="1"/>
      <c r="E8" s="1"/>
      <c r="F8" s="11"/>
      <c r="Q8" s="3" t="s">
        <v>7</v>
      </c>
      <c r="R8" s="8">
        <f>I13</f>
        <v>14636690</v>
      </c>
      <c r="S8" s="8">
        <v>1.164468775E7</v>
      </c>
      <c r="T8" s="8">
        <v>1.387365325E7</v>
      </c>
      <c r="U8" s="8">
        <v>2.269592125E7</v>
      </c>
    </row>
    <row r="9">
      <c r="A9" s="1"/>
      <c r="B9" s="9"/>
      <c r="C9" s="1"/>
      <c r="D9" s="1"/>
      <c r="E9" s="1"/>
      <c r="F9" s="11"/>
      <c r="Q9" s="3" t="s">
        <v>10</v>
      </c>
      <c r="R9" s="8">
        <f>J13</f>
        <v>0.1463665</v>
      </c>
      <c r="S9" s="8">
        <v>0.11644624999999999</v>
      </c>
      <c r="T9" s="8">
        <v>0.13873625</v>
      </c>
      <c r="U9" s="8">
        <v>0.226959</v>
      </c>
    </row>
    <row r="10">
      <c r="A10" s="1"/>
      <c r="B10" s="9"/>
      <c r="C10" s="1"/>
      <c r="D10" s="1"/>
      <c r="E10" s="1"/>
      <c r="F10" s="11"/>
      <c r="Q10" s="3" t="s">
        <v>2</v>
      </c>
      <c r="R10" s="8">
        <f>K13</f>
        <v>137740</v>
      </c>
      <c r="S10" s="8">
        <v>171837.75</v>
      </c>
      <c r="T10" s="8">
        <v>145529.5</v>
      </c>
      <c r="U10" s="8">
        <v>88165.0</v>
      </c>
    </row>
    <row r="11">
      <c r="A11" s="1"/>
      <c r="B11" s="9"/>
      <c r="C11" s="1"/>
      <c r="D11" s="1"/>
      <c r="E11" s="1"/>
      <c r="F11" s="11"/>
    </row>
    <row r="12">
      <c r="A12" s="1"/>
      <c r="B12" s="9"/>
      <c r="C12" s="1"/>
      <c r="D12" s="1"/>
      <c r="E12" s="1"/>
      <c r="F12" s="11"/>
      <c r="P12" s="3" t="s">
        <v>22</v>
      </c>
    </row>
    <row r="13">
      <c r="A13" s="1"/>
      <c r="B13" s="9" t="s">
        <v>21</v>
      </c>
      <c r="C13" s="2">
        <v>20010.0</v>
      </c>
      <c r="D13" s="2">
        <v>1.4259109E7</v>
      </c>
      <c r="E13" s="2">
        <v>0.142591</v>
      </c>
      <c r="F13" s="10">
        <v>140331.0</v>
      </c>
      <c r="G13" s="1" t="s">
        <v>14</v>
      </c>
      <c r="H13" s="7">
        <f t="shared" ref="H13:K13" si="5">AVERAGE(C13:C22)</f>
        <v>20010</v>
      </c>
      <c r="I13" s="7">
        <f t="shared" si="5"/>
        <v>14636690</v>
      </c>
      <c r="J13" s="7">
        <f t="shared" si="5"/>
        <v>0.1463665</v>
      </c>
      <c r="K13" s="7">
        <f t="shared" si="5"/>
        <v>137740</v>
      </c>
      <c r="Q13" s="3" t="s">
        <v>7</v>
      </c>
      <c r="R13" s="8">
        <f>I23</f>
        <v>6631562128</v>
      </c>
      <c r="S13" s="8">
        <v>5.748517081E9</v>
      </c>
      <c r="T13" s="8">
        <v>6.716332698E9</v>
      </c>
      <c r="U13" s="8">
        <v>1.16311326125E10</v>
      </c>
    </row>
    <row r="14">
      <c r="A14" s="1"/>
      <c r="B14" s="9"/>
      <c r="C14" s="2">
        <v>20010.0</v>
      </c>
      <c r="D14" s="2">
        <v>1.6894359E7</v>
      </c>
      <c r="E14" s="2">
        <v>0.168943</v>
      </c>
      <c r="F14" s="10">
        <v>118441.0</v>
      </c>
      <c r="G14" s="1" t="s">
        <v>16</v>
      </c>
      <c r="H14" s="8">
        <f t="shared" ref="H14:K14" si="6">STDEV(C13:C22)</f>
        <v>0</v>
      </c>
      <c r="I14" s="8">
        <f t="shared" si="6"/>
        <v>1528289.04</v>
      </c>
      <c r="J14" s="8">
        <f t="shared" si="6"/>
        <v>0.01528279592</v>
      </c>
      <c r="K14" s="8">
        <f t="shared" si="6"/>
        <v>13149.69346</v>
      </c>
      <c r="Q14" s="3" t="s">
        <v>10</v>
      </c>
      <c r="R14" s="8">
        <f>J23</f>
        <v>66.31562075</v>
      </c>
      <c r="S14" s="8">
        <v>57.48517</v>
      </c>
      <c r="T14" s="8">
        <v>67.1633265</v>
      </c>
      <c r="U14" s="8">
        <v>116.31132550000001</v>
      </c>
    </row>
    <row r="15">
      <c r="A15" s="1"/>
      <c r="B15" s="9"/>
      <c r="C15" s="2">
        <v>20010.0</v>
      </c>
      <c r="D15" s="2">
        <v>1.3696646E7</v>
      </c>
      <c r="E15" s="2">
        <v>0.136966</v>
      </c>
      <c r="F15" s="10">
        <v>146094.0</v>
      </c>
      <c r="G15" s="1" t="s">
        <v>18</v>
      </c>
      <c r="H15" s="8">
        <f t="shared" ref="H15:K15" si="7">Min(C13:C22)</f>
        <v>20010</v>
      </c>
      <c r="I15" s="8">
        <f t="shared" si="7"/>
        <v>13696646</v>
      </c>
      <c r="J15" s="8">
        <f t="shared" si="7"/>
        <v>0.136966</v>
      </c>
      <c r="K15" s="8">
        <f t="shared" si="7"/>
        <v>118441</v>
      </c>
      <c r="Q15" s="3" t="s">
        <v>2</v>
      </c>
      <c r="R15" s="8">
        <f>K23</f>
        <v>119565.75</v>
      </c>
      <c r="S15" s="8">
        <v>137679.0</v>
      </c>
      <c r="T15" s="8">
        <v>118051.0</v>
      </c>
      <c r="U15" s="8">
        <v>68164.75</v>
      </c>
    </row>
    <row r="16">
      <c r="A16" s="1"/>
      <c r="B16" s="9"/>
      <c r="C16" s="2">
        <v>20010.0</v>
      </c>
      <c r="D16" s="2">
        <v>1.3696646E7</v>
      </c>
      <c r="E16" s="2">
        <v>0.136966</v>
      </c>
      <c r="F16" s="10">
        <v>146094.0</v>
      </c>
      <c r="G16" s="1" t="s">
        <v>20</v>
      </c>
      <c r="H16" s="8">
        <f t="shared" ref="H16:K16" si="8">MAX(C13:C22)</f>
        <v>20010</v>
      </c>
      <c r="I16" s="8">
        <f t="shared" si="8"/>
        <v>16894359</v>
      </c>
      <c r="J16" s="8">
        <f t="shared" si="8"/>
        <v>0.168943</v>
      </c>
      <c r="K16" s="8">
        <f t="shared" si="8"/>
        <v>146094</v>
      </c>
    </row>
    <row r="17">
      <c r="A17" s="1"/>
      <c r="B17" s="9"/>
      <c r="C17" s="1"/>
      <c r="D17" s="1"/>
      <c r="E17" s="1"/>
      <c r="F17" s="11"/>
      <c r="G17" s="1"/>
      <c r="R17" s="1" t="s">
        <v>1</v>
      </c>
      <c r="S17" s="1" t="s">
        <v>2</v>
      </c>
      <c r="T17" s="1" t="s">
        <v>3</v>
      </c>
      <c r="U17" s="2" t="s">
        <v>4</v>
      </c>
    </row>
    <row r="18">
      <c r="A18" s="1"/>
      <c r="B18" s="9"/>
      <c r="C18" s="1"/>
      <c r="D18" s="1"/>
      <c r="E18" s="1"/>
      <c r="F18" s="11"/>
      <c r="G18" s="1"/>
      <c r="Q18" s="3" t="s">
        <v>15</v>
      </c>
      <c r="R18" s="3">
        <v>2740.0</v>
      </c>
      <c r="S18" s="3">
        <v>2786.0</v>
      </c>
      <c r="T18" s="3">
        <v>2601.0</v>
      </c>
      <c r="U18" s="3">
        <v>3543.0</v>
      </c>
    </row>
    <row r="19">
      <c r="A19" s="1"/>
      <c r="B19" s="9"/>
      <c r="C19" s="1"/>
      <c r="D19" s="1"/>
      <c r="E19" s="1"/>
      <c r="F19" s="11"/>
      <c r="G19" s="1"/>
      <c r="Q19" s="3" t="s">
        <v>17</v>
      </c>
      <c r="R19" s="3">
        <v>2474.0</v>
      </c>
      <c r="S19" s="3">
        <v>2373.0</v>
      </c>
      <c r="T19" s="3">
        <v>2203.0</v>
      </c>
      <c r="U19" s="3">
        <v>3416.0</v>
      </c>
    </row>
    <row r="20">
      <c r="A20" s="1"/>
      <c r="B20" s="9"/>
      <c r="C20" s="1"/>
      <c r="D20" s="1"/>
      <c r="E20" s="1"/>
      <c r="F20" s="11"/>
      <c r="G20" s="1"/>
    </row>
    <row r="21">
      <c r="A21" s="1"/>
      <c r="B21" s="9"/>
      <c r="C21" s="1"/>
      <c r="D21" s="1"/>
      <c r="E21" s="1"/>
      <c r="F21" s="11"/>
      <c r="G21" s="1"/>
    </row>
    <row r="22">
      <c r="A22" s="1"/>
      <c r="B22" s="9"/>
      <c r="C22" s="1"/>
      <c r="D22" s="1"/>
      <c r="E22" s="1"/>
      <c r="F22" s="11"/>
      <c r="G22" s="1"/>
    </row>
    <row r="23">
      <c r="A23" s="1"/>
      <c r="B23" s="9" t="s">
        <v>22</v>
      </c>
      <c r="C23" s="2">
        <v>7914530.0</v>
      </c>
      <c r="D23" s="2">
        <v>6.184666248E9</v>
      </c>
      <c r="E23" s="2">
        <v>61.846662</v>
      </c>
      <c r="F23" s="10">
        <v>127970.0</v>
      </c>
      <c r="G23" s="1" t="s">
        <v>14</v>
      </c>
      <c r="H23" s="7">
        <f t="shared" ref="H23:K23" si="9">AVERAGE(C23:C32)</f>
        <v>7914530</v>
      </c>
      <c r="I23" s="7">
        <f t="shared" si="9"/>
        <v>6631562128</v>
      </c>
      <c r="J23" s="7">
        <f t="shared" si="9"/>
        <v>66.31562075</v>
      </c>
      <c r="K23" s="7">
        <f t="shared" si="9"/>
        <v>119565.75</v>
      </c>
      <c r="P23" s="3" t="s">
        <v>23</v>
      </c>
    </row>
    <row r="24">
      <c r="A24" s="1"/>
      <c r="B24" s="9"/>
      <c r="C24" s="2">
        <v>7914530.0</v>
      </c>
      <c r="D24" s="2">
        <v>6.631408484E9</v>
      </c>
      <c r="E24" s="2">
        <v>66.314084</v>
      </c>
      <c r="F24" s="10">
        <v>119349.0</v>
      </c>
      <c r="G24" s="1" t="s">
        <v>16</v>
      </c>
      <c r="H24" s="8">
        <f t="shared" ref="H24:K24" si="10">STDEV(C23:C32)</f>
        <v>0</v>
      </c>
      <c r="I24" s="8">
        <f t="shared" si="10"/>
        <v>323544418.5</v>
      </c>
      <c r="J24" s="8">
        <f t="shared" si="10"/>
        <v>3.235444238</v>
      </c>
      <c r="K24" s="8">
        <f t="shared" si="10"/>
        <v>6007.774373</v>
      </c>
      <c r="P24" s="3" t="s">
        <v>24</v>
      </c>
    </row>
    <row r="25">
      <c r="A25" s="1"/>
      <c r="B25" s="9"/>
      <c r="C25" s="2">
        <v>7914530.0</v>
      </c>
      <c r="D25" s="2">
        <v>6.770232951E9</v>
      </c>
      <c r="E25" s="2">
        <v>67.702329</v>
      </c>
      <c r="F25" s="10">
        <v>116901.0</v>
      </c>
      <c r="G25" s="1" t="s">
        <v>18</v>
      </c>
      <c r="H25" s="8">
        <f t="shared" ref="H25:K25" si="11">Min(C23:C32)</f>
        <v>7914530</v>
      </c>
      <c r="I25" s="8">
        <f t="shared" si="11"/>
        <v>6184666248</v>
      </c>
      <c r="J25" s="8">
        <f t="shared" si="11"/>
        <v>61.846662</v>
      </c>
      <c r="K25" s="8">
        <f t="shared" si="11"/>
        <v>114043</v>
      </c>
      <c r="R25" s="1" t="s">
        <v>1</v>
      </c>
      <c r="S25" s="1" t="s">
        <v>2</v>
      </c>
      <c r="T25" s="1" t="s">
        <v>3</v>
      </c>
      <c r="U25" s="2" t="s">
        <v>4</v>
      </c>
    </row>
    <row r="26">
      <c r="A26" s="1"/>
      <c r="B26" s="9"/>
      <c r="C26" s="2">
        <v>7914530.0</v>
      </c>
      <c r="D26" s="2">
        <v>6.93994083E9</v>
      </c>
      <c r="E26" s="2">
        <v>69.399408</v>
      </c>
      <c r="F26" s="10">
        <v>114043.0</v>
      </c>
      <c r="G26" s="1" t="s">
        <v>20</v>
      </c>
      <c r="H26" s="8">
        <f t="shared" ref="H26:K26" si="12">MAX(C23:C32)</f>
        <v>7914530</v>
      </c>
      <c r="I26" s="8">
        <f t="shared" si="12"/>
        <v>6939940830</v>
      </c>
      <c r="J26" s="8">
        <f t="shared" si="12"/>
        <v>69.399408</v>
      </c>
      <c r="K26" s="8">
        <f t="shared" si="12"/>
        <v>127970</v>
      </c>
      <c r="Q26" s="3" t="s">
        <v>12</v>
      </c>
      <c r="R26" s="2">
        <f t="shared" ref="R26:U26" si="13">R3/$R3</f>
        <v>1</v>
      </c>
      <c r="S26" s="2">
        <f t="shared" si="13"/>
        <v>0.9999993998</v>
      </c>
      <c r="T26" s="2">
        <f t="shared" si="13"/>
        <v>0.9999714328</v>
      </c>
      <c r="U26" s="2">
        <f t="shared" si="13"/>
        <v>0.9999221003</v>
      </c>
      <c r="V26" s="1"/>
    </row>
    <row r="27">
      <c r="B27" s="12"/>
      <c r="F27" s="13"/>
      <c r="G27" s="1"/>
      <c r="Q27" s="3" t="s">
        <v>21</v>
      </c>
      <c r="R27" s="2">
        <f t="shared" ref="R27:U27" si="14">R8/$R8</f>
        <v>1</v>
      </c>
      <c r="S27" s="2">
        <f t="shared" si="14"/>
        <v>0.7955820442</v>
      </c>
      <c r="T27" s="2">
        <f t="shared" si="14"/>
        <v>0.9478682168</v>
      </c>
      <c r="U27" s="2">
        <f t="shared" si="14"/>
        <v>1.550618429</v>
      </c>
    </row>
    <row r="28">
      <c r="B28" s="12"/>
      <c r="F28" s="13"/>
      <c r="G28" s="1"/>
      <c r="Q28" s="3" t="s">
        <v>22</v>
      </c>
      <c r="R28" s="2">
        <f t="shared" ref="R28:U28" si="15">R13/$R13</f>
        <v>1</v>
      </c>
      <c r="S28" s="2">
        <f t="shared" si="15"/>
        <v>0.8668420758</v>
      </c>
      <c r="T28" s="2">
        <f t="shared" si="15"/>
        <v>1.012782896</v>
      </c>
      <c r="U28" s="2">
        <f t="shared" si="15"/>
        <v>1.753905398</v>
      </c>
    </row>
    <row r="29">
      <c r="B29" s="12"/>
      <c r="F29" s="13"/>
      <c r="G29" s="1"/>
      <c r="R29" s="1"/>
      <c r="S29" s="1"/>
      <c r="T29" s="1"/>
      <c r="U29" s="2"/>
    </row>
    <row r="30">
      <c r="B30" s="12"/>
      <c r="F30" s="13"/>
      <c r="G30" s="1"/>
      <c r="P30" s="3" t="s">
        <v>10</v>
      </c>
    </row>
    <row r="31">
      <c r="B31" s="12"/>
      <c r="F31" s="13"/>
      <c r="G31" s="1"/>
      <c r="R31" s="1" t="s">
        <v>1</v>
      </c>
      <c r="S31" s="1" t="s">
        <v>2</v>
      </c>
      <c r="T31" s="1" t="s">
        <v>3</v>
      </c>
      <c r="U31" s="2" t="s">
        <v>4</v>
      </c>
    </row>
    <row r="32">
      <c r="B32" s="12"/>
      <c r="F32" s="13"/>
      <c r="G32" s="1"/>
      <c r="Q32" s="3" t="s">
        <v>12</v>
      </c>
      <c r="R32" s="2">
        <f t="shared" ref="R32:U32" si="16">R4/$R4</f>
        <v>1</v>
      </c>
      <c r="S32" s="2">
        <f t="shared" si="16"/>
        <v>1</v>
      </c>
      <c r="T32" s="2">
        <f t="shared" si="16"/>
        <v>0.9999519877</v>
      </c>
      <c r="U32" s="2">
        <f t="shared" si="16"/>
        <v>0.9999039754</v>
      </c>
    </row>
    <row r="33">
      <c r="B33" s="14"/>
      <c r="C33" s="15"/>
      <c r="D33" s="15"/>
      <c r="E33" s="15"/>
      <c r="F33" s="16"/>
      <c r="G33" s="1"/>
      <c r="Q33" s="3" t="s">
        <v>21</v>
      </c>
      <c r="R33" s="8">
        <f t="shared" ref="R33:U33" si="17">R9/$R9</f>
        <v>1</v>
      </c>
      <c r="S33" s="8">
        <f t="shared" si="17"/>
        <v>0.7955799312</v>
      </c>
      <c r="T33" s="8">
        <f t="shared" si="17"/>
        <v>0.9478688771</v>
      </c>
      <c r="U33" s="8">
        <f t="shared" si="17"/>
        <v>1.550621215</v>
      </c>
    </row>
    <row r="34">
      <c r="A34" s="2" t="s">
        <v>25</v>
      </c>
      <c r="B34" s="4" t="s">
        <v>12</v>
      </c>
      <c r="C34" s="5">
        <v>307.0</v>
      </c>
      <c r="D34" s="5">
        <v>2082805.0</v>
      </c>
      <c r="E34" s="5">
        <v>0.020828</v>
      </c>
      <c r="F34" s="6">
        <v>14739.0</v>
      </c>
      <c r="G34" s="1" t="s">
        <v>14</v>
      </c>
      <c r="H34" s="7">
        <f t="shared" ref="H34:K34" si="18">AVERAGE(C34:C43)</f>
        <v>307</v>
      </c>
      <c r="I34" s="7">
        <f t="shared" si="18"/>
        <v>2082805</v>
      </c>
      <c r="J34" s="7">
        <f t="shared" si="18"/>
        <v>0.020828</v>
      </c>
      <c r="K34" s="7">
        <f t="shared" si="18"/>
        <v>14739</v>
      </c>
      <c r="M34" s="3" t="s">
        <v>15</v>
      </c>
      <c r="N34" s="3">
        <v>2786.0</v>
      </c>
      <c r="Q34" s="3" t="s">
        <v>22</v>
      </c>
      <c r="R34" s="2">
        <f t="shared" ref="R34:U34" si="19">R14/$R14</f>
        <v>1</v>
      </c>
      <c r="S34" s="2">
        <f t="shared" si="19"/>
        <v>0.8668420705</v>
      </c>
      <c r="T34" s="2">
        <f t="shared" si="19"/>
        <v>1.012782897</v>
      </c>
      <c r="U34" s="2">
        <f t="shared" si="19"/>
        <v>1.753905402</v>
      </c>
    </row>
    <row r="35">
      <c r="A35" s="2"/>
      <c r="B35" s="9"/>
      <c r="C35" s="2">
        <v>307.0</v>
      </c>
      <c r="D35" s="2">
        <v>2082805.0</v>
      </c>
      <c r="E35" s="5">
        <v>0.020828</v>
      </c>
      <c r="F35" s="6">
        <v>14739.0</v>
      </c>
      <c r="G35" s="1" t="s">
        <v>16</v>
      </c>
      <c r="H35" s="8">
        <f t="shared" ref="H35:K35" si="20">STDEV(C34:C43)</f>
        <v>0</v>
      </c>
      <c r="I35" s="8">
        <f t="shared" si="20"/>
        <v>0</v>
      </c>
      <c r="J35" s="8">
        <f t="shared" si="20"/>
        <v>0</v>
      </c>
      <c r="K35" s="8">
        <f t="shared" si="20"/>
        <v>0</v>
      </c>
      <c r="M35" s="3" t="s">
        <v>17</v>
      </c>
      <c r="N35" s="3">
        <v>2373.0</v>
      </c>
    </row>
    <row r="36">
      <c r="A36" s="2"/>
      <c r="B36" s="9"/>
      <c r="C36" s="5">
        <v>307.0</v>
      </c>
      <c r="D36" s="5">
        <v>2082805.0</v>
      </c>
      <c r="E36" s="5">
        <v>0.020828</v>
      </c>
      <c r="F36" s="6">
        <v>14739.0</v>
      </c>
      <c r="G36" s="1" t="s">
        <v>18</v>
      </c>
      <c r="H36" s="8">
        <f t="shared" ref="H36:K36" si="21">Min(C34:C43)</f>
        <v>307</v>
      </c>
      <c r="I36" s="8">
        <f t="shared" si="21"/>
        <v>2082805</v>
      </c>
      <c r="J36" s="8">
        <f t="shared" si="21"/>
        <v>0.020828</v>
      </c>
      <c r="K36" s="8">
        <f t="shared" si="21"/>
        <v>14739</v>
      </c>
      <c r="M36" s="3" t="s">
        <v>19</v>
      </c>
      <c r="N36" s="3">
        <v>32.0</v>
      </c>
      <c r="P36" s="3" t="s">
        <v>2</v>
      </c>
    </row>
    <row r="37">
      <c r="A37" s="1"/>
      <c r="B37" s="9"/>
      <c r="C37" s="2">
        <v>307.0</v>
      </c>
      <c r="D37" s="2">
        <v>2082805.0</v>
      </c>
      <c r="E37" s="5">
        <v>0.020828</v>
      </c>
      <c r="F37" s="6">
        <v>14739.0</v>
      </c>
      <c r="G37" s="1" t="s">
        <v>20</v>
      </c>
      <c r="H37" s="8">
        <f t="shared" ref="H37:K37" si="22">MAX(C34:C43)</f>
        <v>307</v>
      </c>
      <c r="I37" s="8">
        <f t="shared" si="22"/>
        <v>2082805</v>
      </c>
      <c r="J37" s="8">
        <f t="shared" si="22"/>
        <v>0.020828</v>
      </c>
      <c r="K37" s="8">
        <f t="shared" si="22"/>
        <v>14739</v>
      </c>
      <c r="R37" s="1" t="s">
        <v>1</v>
      </c>
      <c r="S37" s="1" t="s">
        <v>2</v>
      </c>
      <c r="T37" s="1" t="s">
        <v>3</v>
      </c>
      <c r="U37" s="2" t="s">
        <v>4</v>
      </c>
    </row>
    <row r="38">
      <c r="A38" s="1"/>
      <c r="B38" s="9"/>
      <c r="C38" s="1"/>
      <c r="D38" s="1"/>
      <c r="E38" s="1"/>
      <c r="F38" s="11"/>
      <c r="G38" s="1"/>
      <c r="Q38" s="3" t="s">
        <v>12</v>
      </c>
      <c r="R38" s="2">
        <f t="shared" ref="R38:U38" si="23">R5/$R5</f>
        <v>1</v>
      </c>
      <c r="S38" s="2">
        <f t="shared" si="23"/>
        <v>1</v>
      </c>
      <c r="T38" s="2">
        <f t="shared" si="23"/>
        <v>1.000067847</v>
      </c>
      <c r="U38" s="2">
        <f t="shared" si="23"/>
        <v>1.000067847</v>
      </c>
    </row>
    <row r="39">
      <c r="A39" s="1"/>
      <c r="B39" s="9"/>
      <c r="C39" s="1"/>
      <c r="D39" s="1"/>
      <c r="E39" s="1"/>
      <c r="F39" s="11"/>
      <c r="Q39" s="3" t="s">
        <v>21</v>
      </c>
      <c r="R39" s="8">
        <f t="shared" ref="R39:U39" si="24">R10/$R10</f>
        <v>1</v>
      </c>
      <c r="S39" s="8">
        <f t="shared" si="24"/>
        <v>1.247551546</v>
      </c>
      <c r="T39" s="8">
        <f t="shared" si="24"/>
        <v>1.0565522</v>
      </c>
      <c r="U39" s="8">
        <f t="shared" si="24"/>
        <v>0.6400827646</v>
      </c>
    </row>
    <row r="40">
      <c r="A40" s="1"/>
      <c r="B40" s="9"/>
      <c r="C40" s="1"/>
      <c r="D40" s="1"/>
      <c r="E40" s="1"/>
      <c r="F40" s="11"/>
      <c r="Q40" s="3" t="s">
        <v>22</v>
      </c>
      <c r="R40" s="2">
        <f t="shared" ref="R40:U40" si="25">R15/$R15</f>
        <v>1</v>
      </c>
      <c r="S40" s="2">
        <f t="shared" si="25"/>
        <v>1.151491962</v>
      </c>
      <c r="T40" s="2">
        <f t="shared" si="25"/>
        <v>0.9873312383</v>
      </c>
      <c r="U40" s="2">
        <f t="shared" si="25"/>
        <v>0.5701026423</v>
      </c>
    </row>
    <row r="41">
      <c r="A41" s="1"/>
      <c r="B41" s="9"/>
      <c r="C41" s="1"/>
      <c r="D41" s="1"/>
      <c r="E41" s="1"/>
      <c r="F41" s="11"/>
    </row>
    <row r="42">
      <c r="A42" s="1"/>
      <c r="B42" s="9"/>
      <c r="C42" s="1"/>
      <c r="D42" s="1"/>
      <c r="E42" s="1"/>
      <c r="F42" s="11"/>
    </row>
    <row r="43">
      <c r="A43" s="1"/>
      <c r="B43" s="9"/>
      <c r="C43" s="1"/>
      <c r="D43" s="1"/>
      <c r="E43" s="1"/>
      <c r="F43" s="11"/>
    </row>
    <row r="44">
      <c r="A44" s="1"/>
      <c r="B44" s="9" t="s">
        <v>21</v>
      </c>
      <c r="C44" s="2">
        <v>20010.0</v>
      </c>
      <c r="D44" s="2">
        <v>1.1644682E7</v>
      </c>
      <c r="E44" s="2">
        <v>0.116446</v>
      </c>
      <c r="F44" s="10">
        <v>171838.0</v>
      </c>
      <c r="G44" s="1" t="s">
        <v>14</v>
      </c>
      <c r="H44" s="7">
        <f t="shared" ref="H44:K44" si="26">AVERAGE(C44:C53)</f>
        <v>20010</v>
      </c>
      <c r="I44" s="7">
        <f t="shared" si="26"/>
        <v>11644687.75</v>
      </c>
      <c r="J44" s="7">
        <f t="shared" si="26"/>
        <v>0.11644625</v>
      </c>
      <c r="K44" s="7">
        <f t="shared" si="26"/>
        <v>171837.75</v>
      </c>
    </row>
    <row r="45">
      <c r="A45" s="1"/>
      <c r="B45" s="9"/>
      <c r="C45" s="2">
        <v>20010.0</v>
      </c>
      <c r="D45" s="2">
        <v>1.1644682E7</v>
      </c>
      <c r="E45" s="2">
        <v>0.116446</v>
      </c>
      <c r="F45" s="10">
        <v>171838.0</v>
      </c>
      <c r="G45" s="1" t="s">
        <v>16</v>
      </c>
      <c r="H45" s="8">
        <f t="shared" ref="H45:K45" si="27">STDEV(C44:C53)</f>
        <v>0</v>
      </c>
      <c r="I45" s="8">
        <f t="shared" si="27"/>
        <v>11.5</v>
      </c>
      <c r="J45" s="8">
        <f t="shared" si="27"/>
        <v>0.0000005</v>
      </c>
      <c r="K45" s="8">
        <f t="shared" si="27"/>
        <v>0.5</v>
      </c>
    </row>
    <row r="46">
      <c r="A46" s="1"/>
      <c r="B46" s="9"/>
      <c r="C46" s="2">
        <v>20010.0</v>
      </c>
      <c r="D46" s="2">
        <v>1.1644705E7</v>
      </c>
      <c r="E46" s="2">
        <v>0.116447</v>
      </c>
      <c r="F46" s="10">
        <v>171837.0</v>
      </c>
      <c r="G46" s="1" t="s">
        <v>18</v>
      </c>
      <c r="H46" s="8">
        <f t="shared" ref="H46:K46" si="28">Min(C44:C53)</f>
        <v>20010</v>
      </c>
      <c r="I46" s="8">
        <f t="shared" si="28"/>
        <v>11644682</v>
      </c>
      <c r="J46" s="8">
        <f t="shared" si="28"/>
        <v>0.116446</v>
      </c>
      <c r="K46" s="8">
        <f t="shared" si="28"/>
        <v>171837</v>
      </c>
    </row>
    <row r="47">
      <c r="A47" s="1"/>
      <c r="B47" s="9"/>
      <c r="C47" s="2">
        <v>20010.0</v>
      </c>
      <c r="D47" s="2">
        <v>1.1644682E7</v>
      </c>
      <c r="E47" s="2">
        <v>0.116446</v>
      </c>
      <c r="F47" s="10">
        <v>171838.0</v>
      </c>
      <c r="G47" s="1" t="s">
        <v>20</v>
      </c>
      <c r="H47" s="8">
        <f t="shared" ref="H47:K47" si="29">MAX(C44:C53)</f>
        <v>20010</v>
      </c>
      <c r="I47" s="8">
        <f t="shared" si="29"/>
        <v>11644705</v>
      </c>
      <c r="J47" s="8">
        <f t="shared" si="29"/>
        <v>0.116447</v>
      </c>
      <c r="K47" s="8">
        <f t="shared" si="29"/>
        <v>171838</v>
      </c>
    </row>
    <row r="48">
      <c r="A48" s="1"/>
      <c r="B48" s="9"/>
      <c r="C48" s="1"/>
      <c r="D48" s="1"/>
      <c r="E48" s="1"/>
      <c r="F48" s="11"/>
      <c r="G48" s="1"/>
    </row>
    <row r="49">
      <c r="A49" s="1"/>
      <c r="B49" s="9"/>
      <c r="C49" s="1"/>
      <c r="D49" s="1"/>
      <c r="E49" s="1"/>
      <c r="F49" s="11"/>
      <c r="G49" s="1"/>
    </row>
    <row r="50">
      <c r="A50" s="1"/>
      <c r="B50" s="9"/>
      <c r="C50" s="1"/>
      <c r="D50" s="1"/>
      <c r="E50" s="1"/>
      <c r="F50" s="11"/>
      <c r="G50" s="1"/>
    </row>
    <row r="51">
      <c r="A51" s="1"/>
      <c r="B51" s="9"/>
      <c r="C51" s="1"/>
      <c r="D51" s="1"/>
      <c r="E51" s="1"/>
      <c r="F51" s="11"/>
      <c r="G51" s="1"/>
    </row>
    <row r="52">
      <c r="A52" s="1"/>
      <c r="B52" s="9"/>
      <c r="C52" s="1"/>
      <c r="D52" s="1"/>
      <c r="E52" s="1"/>
      <c r="F52" s="11"/>
      <c r="G52" s="1"/>
    </row>
    <row r="53">
      <c r="A53" s="1"/>
      <c r="B53" s="9"/>
      <c r="C53" s="1"/>
      <c r="D53" s="1"/>
      <c r="E53" s="1"/>
      <c r="F53" s="11"/>
      <c r="G53" s="1"/>
    </row>
    <row r="54">
      <c r="A54" s="1"/>
      <c r="B54" s="9" t="s">
        <v>22</v>
      </c>
      <c r="C54" s="2">
        <v>7914530.0</v>
      </c>
      <c r="D54" s="2">
        <v>5.748517081E9</v>
      </c>
      <c r="E54" s="2">
        <v>57.48517</v>
      </c>
      <c r="F54" s="10">
        <v>137679.0</v>
      </c>
      <c r="G54" s="1" t="s">
        <v>14</v>
      </c>
      <c r="H54" s="7">
        <f t="shared" ref="H54:K54" si="30">AVERAGE(C54:C63)</f>
        <v>7914530</v>
      </c>
      <c r="I54" s="7">
        <f t="shared" si="30"/>
        <v>6170386926</v>
      </c>
      <c r="J54" s="7">
        <f t="shared" si="30"/>
        <v>61.70386875</v>
      </c>
      <c r="K54" s="7">
        <f t="shared" si="30"/>
        <v>128493.5</v>
      </c>
    </row>
    <row r="55">
      <c r="A55" s="1"/>
      <c r="B55" s="9"/>
      <c r="C55" s="2">
        <v>7914530.0</v>
      </c>
      <c r="D55" s="2">
        <v>6.195248916E9</v>
      </c>
      <c r="E55" s="2">
        <v>61.952489</v>
      </c>
      <c r="F55" s="10">
        <v>127751.0</v>
      </c>
      <c r="G55" s="1" t="s">
        <v>16</v>
      </c>
      <c r="H55" s="8">
        <f t="shared" ref="H55:K55" si="31">STDEV(C54:C63)</f>
        <v>0</v>
      </c>
      <c r="I55" s="8">
        <f t="shared" si="31"/>
        <v>294293430.3</v>
      </c>
      <c r="J55" s="8">
        <f t="shared" si="31"/>
        <v>2.942934439</v>
      </c>
      <c r="K55" s="8">
        <f t="shared" si="31"/>
        <v>6363.670927</v>
      </c>
    </row>
    <row r="56">
      <c r="A56" s="1"/>
      <c r="B56" s="9"/>
      <c r="C56" s="2">
        <v>7914530.0</v>
      </c>
      <c r="D56" s="2">
        <v>6.334062943E9</v>
      </c>
      <c r="E56" s="2">
        <v>63.340629</v>
      </c>
      <c r="F56" s="10">
        <v>124951.0</v>
      </c>
      <c r="G56" s="1" t="s">
        <v>18</v>
      </c>
      <c r="H56" s="8">
        <f t="shared" ref="H56:K56" si="32">Min(C54:C63)</f>
        <v>7914530</v>
      </c>
      <c r="I56" s="8">
        <f t="shared" si="32"/>
        <v>5748517081</v>
      </c>
      <c r="J56" s="8">
        <f t="shared" si="32"/>
        <v>57.48517</v>
      </c>
      <c r="K56" s="8">
        <f t="shared" si="32"/>
        <v>123593</v>
      </c>
    </row>
    <row r="57">
      <c r="A57" s="1"/>
      <c r="B57" s="9"/>
      <c r="C57" s="2">
        <v>7914530.0</v>
      </c>
      <c r="D57" s="2">
        <v>6.403718763E9</v>
      </c>
      <c r="E57" s="2">
        <v>64.037187</v>
      </c>
      <c r="F57" s="10">
        <v>123593.0</v>
      </c>
      <c r="G57" s="1" t="s">
        <v>20</v>
      </c>
      <c r="H57" s="8">
        <f t="shared" ref="H57:K57" si="33">MAX(C54:C63)</f>
        <v>7914530</v>
      </c>
      <c r="I57" s="8">
        <f t="shared" si="33"/>
        <v>6403718763</v>
      </c>
      <c r="J57" s="8">
        <f t="shared" si="33"/>
        <v>64.037187</v>
      </c>
      <c r="K57" s="8">
        <f t="shared" si="33"/>
        <v>137679</v>
      </c>
    </row>
    <row r="58">
      <c r="B58" s="12"/>
      <c r="F58" s="13"/>
    </row>
    <row r="59">
      <c r="B59" s="12"/>
      <c r="F59" s="13"/>
    </row>
    <row r="60">
      <c r="B60" s="12"/>
      <c r="F60" s="13"/>
    </row>
    <row r="61">
      <c r="B61" s="12"/>
      <c r="F61" s="13"/>
    </row>
    <row r="62">
      <c r="B62" s="12"/>
      <c r="F62" s="13"/>
    </row>
    <row r="63">
      <c r="B63" s="12"/>
      <c r="F63" s="13"/>
    </row>
    <row r="64">
      <c r="B64" s="14"/>
      <c r="C64" s="15"/>
      <c r="D64" s="15"/>
      <c r="E64" s="15"/>
      <c r="F64" s="16"/>
    </row>
    <row r="65">
      <c r="A65" s="2" t="s">
        <v>26</v>
      </c>
      <c r="B65" s="4" t="s">
        <v>12</v>
      </c>
      <c r="C65" s="5">
        <v>307.0</v>
      </c>
      <c r="D65" s="2">
        <v>2082729.0</v>
      </c>
      <c r="E65" s="5">
        <v>0.020827</v>
      </c>
      <c r="F65" s="6">
        <v>14740.0</v>
      </c>
      <c r="G65" s="1" t="s">
        <v>14</v>
      </c>
      <c r="H65" s="7">
        <f t="shared" ref="H65:K65" si="34">AVERAGE(C65:C74)</f>
        <v>307</v>
      </c>
      <c r="I65" s="7">
        <f t="shared" si="34"/>
        <v>2082746.75</v>
      </c>
      <c r="J65" s="7">
        <f t="shared" si="34"/>
        <v>0.020827</v>
      </c>
      <c r="K65" s="7">
        <f t="shared" si="34"/>
        <v>14740</v>
      </c>
      <c r="M65" s="3" t="s">
        <v>15</v>
      </c>
      <c r="N65" s="3">
        <v>2601.0</v>
      </c>
    </row>
    <row r="66">
      <c r="A66" s="1"/>
      <c r="B66" s="9"/>
      <c r="C66" s="2">
        <v>307.0</v>
      </c>
      <c r="D66" s="2">
        <v>2082752.0</v>
      </c>
      <c r="E66" s="5">
        <v>0.020827</v>
      </c>
      <c r="F66" s="6">
        <v>14740.0</v>
      </c>
      <c r="G66" s="1" t="s">
        <v>16</v>
      </c>
      <c r="H66" s="8">
        <f t="shared" ref="H66:K66" si="35">STDEV(C65:C74)</f>
        <v>0</v>
      </c>
      <c r="I66" s="8">
        <f t="shared" si="35"/>
        <v>11.8708326</v>
      </c>
      <c r="J66" s="8">
        <f t="shared" si="35"/>
        <v>0</v>
      </c>
      <c r="K66" s="8">
        <f t="shared" si="35"/>
        <v>0</v>
      </c>
      <c r="M66" s="3" t="s">
        <v>17</v>
      </c>
      <c r="N66" s="3">
        <v>2203.0</v>
      </c>
    </row>
    <row r="67">
      <c r="A67" s="1"/>
      <c r="B67" s="9"/>
      <c r="C67" s="2">
        <v>307.0</v>
      </c>
      <c r="D67" s="2">
        <v>2082752.0</v>
      </c>
      <c r="E67" s="5">
        <v>0.020827</v>
      </c>
      <c r="F67" s="6">
        <v>14740.0</v>
      </c>
      <c r="G67" s="1" t="s">
        <v>18</v>
      </c>
      <c r="H67" s="8">
        <f t="shared" ref="H67:K67" si="36">Min(C65:C74)</f>
        <v>307</v>
      </c>
      <c r="I67" s="8">
        <f t="shared" si="36"/>
        <v>2082729</v>
      </c>
      <c r="J67" s="8">
        <f t="shared" si="36"/>
        <v>0.020827</v>
      </c>
      <c r="K67" s="8">
        <f t="shared" si="36"/>
        <v>14740</v>
      </c>
      <c r="M67" s="3" t="s">
        <v>19</v>
      </c>
      <c r="N67" s="3">
        <v>32.0</v>
      </c>
    </row>
    <row r="68">
      <c r="A68" s="1"/>
      <c r="B68" s="9"/>
      <c r="C68" s="2">
        <v>307.0</v>
      </c>
      <c r="D68" s="2">
        <v>2082754.0</v>
      </c>
      <c r="E68" s="2">
        <v>0.020827</v>
      </c>
      <c r="F68" s="10">
        <v>14740.0</v>
      </c>
      <c r="G68" s="1" t="s">
        <v>20</v>
      </c>
      <c r="H68" s="8">
        <f t="shared" ref="H68:K68" si="37">MAX(C65:C74)</f>
        <v>307</v>
      </c>
      <c r="I68" s="8">
        <f t="shared" si="37"/>
        <v>2082754</v>
      </c>
      <c r="J68" s="8">
        <f t="shared" si="37"/>
        <v>0.020827</v>
      </c>
      <c r="K68" s="8">
        <f t="shared" si="37"/>
        <v>14740</v>
      </c>
    </row>
    <row r="69">
      <c r="A69" s="1"/>
      <c r="B69" s="9"/>
      <c r="C69" s="1"/>
      <c r="D69" s="1"/>
      <c r="E69" s="1"/>
      <c r="F69" s="11"/>
      <c r="G69" s="1"/>
    </row>
    <row r="70">
      <c r="A70" s="1"/>
      <c r="B70" s="9"/>
      <c r="C70" s="1"/>
      <c r="D70" s="1"/>
      <c r="E70" s="1"/>
      <c r="F70" s="11"/>
    </row>
    <row r="71">
      <c r="A71" s="1"/>
      <c r="B71" s="9"/>
      <c r="C71" s="1"/>
      <c r="D71" s="1"/>
      <c r="E71" s="1"/>
      <c r="F71" s="11"/>
    </row>
    <row r="72">
      <c r="A72" s="1"/>
      <c r="B72" s="9"/>
      <c r="C72" s="1"/>
      <c r="D72" s="1"/>
      <c r="E72" s="1"/>
      <c r="F72" s="11"/>
    </row>
    <row r="73">
      <c r="A73" s="1"/>
      <c r="B73" s="9"/>
      <c r="C73" s="1"/>
      <c r="D73" s="1"/>
      <c r="E73" s="1"/>
      <c r="F73" s="11"/>
    </row>
    <row r="74">
      <c r="A74" s="1"/>
      <c r="B74" s="9"/>
      <c r="C74" s="1"/>
      <c r="D74" s="1"/>
      <c r="E74" s="1"/>
      <c r="F74" s="11"/>
    </row>
    <row r="75">
      <c r="A75" s="1"/>
      <c r="B75" s="9" t="s">
        <v>21</v>
      </c>
      <c r="C75" s="2">
        <v>20010.0</v>
      </c>
      <c r="D75" s="2">
        <v>1.2946633E7</v>
      </c>
      <c r="E75" s="2">
        <v>0.129466</v>
      </c>
      <c r="F75" s="10">
        <v>154557.0</v>
      </c>
      <c r="G75" s="1" t="s">
        <v>14</v>
      </c>
      <c r="H75" s="7">
        <f t="shared" ref="H75:K75" si="38">AVERAGE(C75:C84)</f>
        <v>20010</v>
      </c>
      <c r="I75" s="7">
        <f t="shared" si="38"/>
        <v>13873653.25</v>
      </c>
      <c r="J75" s="7">
        <f t="shared" si="38"/>
        <v>0.13873625</v>
      </c>
      <c r="K75" s="7">
        <f t="shared" si="38"/>
        <v>145529.5</v>
      </c>
    </row>
    <row r="76">
      <c r="A76" s="1"/>
      <c r="B76" s="9"/>
      <c r="C76" s="2">
        <v>20010.0</v>
      </c>
      <c r="D76" s="2">
        <v>1.2946622E7</v>
      </c>
      <c r="E76" s="2">
        <v>0.129466</v>
      </c>
      <c r="F76" s="10">
        <v>154557.0</v>
      </c>
      <c r="G76" s="1" t="s">
        <v>16</v>
      </c>
      <c r="H76" s="8">
        <f t="shared" ref="H76:K76" si="39">STDEV(C75:C84)</f>
        <v>0</v>
      </c>
      <c r="I76" s="8">
        <f t="shared" si="39"/>
        <v>1594781.333</v>
      </c>
      <c r="J76" s="8">
        <f t="shared" si="39"/>
        <v>0.0159478741</v>
      </c>
      <c r="K76" s="8">
        <f t="shared" si="39"/>
        <v>15084.07817</v>
      </c>
    </row>
    <row r="77">
      <c r="A77" s="1"/>
      <c r="B77" s="9"/>
      <c r="C77" s="2">
        <v>20010.0</v>
      </c>
      <c r="D77" s="2">
        <v>1.6248518E7</v>
      </c>
      <c r="E77" s="2">
        <v>0.162485</v>
      </c>
      <c r="F77" s="10">
        <v>123149.0</v>
      </c>
      <c r="G77" s="1" t="s">
        <v>18</v>
      </c>
      <c r="H77" s="8">
        <f t="shared" ref="H77:K77" si="40">Min(C75:C84)</f>
        <v>20010</v>
      </c>
      <c r="I77" s="8">
        <f t="shared" si="40"/>
        <v>12946622</v>
      </c>
      <c r="J77" s="8">
        <f t="shared" si="40"/>
        <v>0.129466</v>
      </c>
      <c r="K77" s="8">
        <f t="shared" si="40"/>
        <v>123149</v>
      </c>
    </row>
    <row r="78">
      <c r="A78" s="1"/>
      <c r="B78" s="9"/>
      <c r="C78" s="2">
        <v>20010.0</v>
      </c>
      <c r="D78" s="2">
        <v>1.335284E7</v>
      </c>
      <c r="E78" s="2">
        <v>0.133528</v>
      </c>
      <c r="F78" s="10">
        <v>149855.0</v>
      </c>
      <c r="G78" s="1" t="s">
        <v>20</v>
      </c>
      <c r="H78" s="8">
        <f t="shared" ref="H78:K78" si="41">MAX(C75:C84)</f>
        <v>20010</v>
      </c>
      <c r="I78" s="8">
        <f t="shared" si="41"/>
        <v>16248518</v>
      </c>
      <c r="J78" s="8">
        <f t="shared" si="41"/>
        <v>0.162485</v>
      </c>
      <c r="K78" s="8">
        <f t="shared" si="41"/>
        <v>154557</v>
      </c>
    </row>
    <row r="79">
      <c r="A79" s="1"/>
      <c r="B79" s="9"/>
      <c r="C79" s="1"/>
      <c r="D79" s="1"/>
      <c r="E79" s="1"/>
      <c r="F79" s="11"/>
      <c r="G79" s="1"/>
    </row>
    <row r="80">
      <c r="A80" s="1"/>
      <c r="B80" s="9"/>
      <c r="C80" s="1"/>
      <c r="D80" s="1"/>
      <c r="E80" s="1"/>
      <c r="F80" s="11"/>
      <c r="G80" s="1"/>
    </row>
    <row r="81">
      <c r="A81" s="1"/>
      <c r="B81" s="9"/>
      <c r="C81" s="1"/>
      <c r="D81" s="1"/>
      <c r="E81" s="1"/>
      <c r="F81" s="11"/>
      <c r="G81" s="1"/>
    </row>
    <row r="82">
      <c r="A82" s="1"/>
      <c r="B82" s="9"/>
      <c r="C82" s="1"/>
      <c r="D82" s="1"/>
      <c r="E82" s="1"/>
      <c r="F82" s="11"/>
      <c r="G82" s="1"/>
    </row>
    <row r="83">
      <c r="A83" s="1"/>
      <c r="B83" s="9"/>
      <c r="C83" s="1"/>
      <c r="D83" s="1"/>
      <c r="E83" s="1"/>
      <c r="F83" s="11"/>
      <c r="G83" s="1"/>
    </row>
    <row r="84">
      <c r="A84" s="1"/>
      <c r="B84" s="9"/>
      <c r="C84" s="1"/>
      <c r="D84" s="1"/>
      <c r="E84" s="1"/>
      <c r="F84" s="11"/>
      <c r="G84" s="1"/>
    </row>
    <row r="85">
      <c r="A85" s="1"/>
      <c r="B85" s="9" t="s">
        <v>22</v>
      </c>
      <c r="C85" s="2">
        <v>7914530.0</v>
      </c>
      <c r="D85" s="2">
        <v>6.26945244E9</v>
      </c>
      <c r="E85" s="2">
        <v>62.694524</v>
      </c>
      <c r="F85" s="10">
        <v>126239.0</v>
      </c>
      <c r="G85" s="1" t="s">
        <v>14</v>
      </c>
      <c r="H85" s="7">
        <f t="shared" ref="H85:K85" si="42">AVERAGE(C85:C94)</f>
        <v>7914530</v>
      </c>
      <c r="I85" s="7">
        <f t="shared" si="42"/>
        <v>6716332698</v>
      </c>
      <c r="J85" s="7">
        <f t="shared" si="42"/>
        <v>67.1633265</v>
      </c>
      <c r="K85" s="7">
        <f t="shared" si="42"/>
        <v>118051</v>
      </c>
    </row>
    <row r="86">
      <c r="A86" s="1"/>
      <c r="B86" s="9"/>
      <c r="C86" s="2">
        <v>7914530.0</v>
      </c>
      <c r="D86" s="2">
        <v>6.71616343E9</v>
      </c>
      <c r="E86" s="2">
        <v>67.161634</v>
      </c>
      <c r="F86" s="10">
        <v>117843.0</v>
      </c>
      <c r="G86" s="1" t="s">
        <v>16</v>
      </c>
      <c r="H86" s="8">
        <f t="shared" ref="H86:K86" si="43">STDEV(C85:C94)</f>
        <v>0</v>
      </c>
      <c r="I86" s="8">
        <f t="shared" si="43"/>
        <v>323532676.3</v>
      </c>
      <c r="J86" s="8">
        <f t="shared" si="43"/>
        <v>3.235326668</v>
      </c>
      <c r="K86" s="8">
        <f t="shared" si="43"/>
        <v>5854.151803</v>
      </c>
    </row>
    <row r="87">
      <c r="A87" s="1"/>
      <c r="B87" s="9"/>
      <c r="C87" s="2">
        <v>7914530.0</v>
      </c>
      <c r="D87" s="2">
        <v>6.855029562E9</v>
      </c>
      <c r="E87" s="2">
        <v>68.550295</v>
      </c>
      <c r="F87" s="10">
        <v>115455.0</v>
      </c>
      <c r="G87" s="1" t="s">
        <v>18</v>
      </c>
      <c r="H87" s="8">
        <f t="shared" ref="H87:K87" si="44">Min(C85:C94)</f>
        <v>7914530</v>
      </c>
      <c r="I87" s="8">
        <f t="shared" si="44"/>
        <v>6269452440</v>
      </c>
      <c r="J87" s="8">
        <f t="shared" si="44"/>
        <v>62.694524</v>
      </c>
      <c r="K87" s="8">
        <f t="shared" si="44"/>
        <v>112667</v>
      </c>
    </row>
    <row r="88">
      <c r="A88" s="1"/>
      <c r="B88" s="9"/>
      <c r="C88" s="2">
        <v>7914530.0</v>
      </c>
      <c r="D88" s="2">
        <v>7.02468536E9</v>
      </c>
      <c r="E88" s="2">
        <v>70.246853</v>
      </c>
      <c r="F88" s="10">
        <v>112667.0</v>
      </c>
      <c r="G88" s="1" t="s">
        <v>20</v>
      </c>
      <c r="H88" s="8">
        <f t="shared" ref="H88:K88" si="45">MAX(C85:C94)</f>
        <v>7914530</v>
      </c>
      <c r="I88" s="8">
        <f t="shared" si="45"/>
        <v>7024685360</v>
      </c>
      <c r="J88" s="8">
        <f t="shared" si="45"/>
        <v>70.246853</v>
      </c>
      <c r="K88" s="8">
        <f t="shared" si="45"/>
        <v>126239</v>
      </c>
    </row>
    <row r="89">
      <c r="B89" s="12"/>
      <c r="F89" s="13"/>
      <c r="G89" s="1"/>
    </row>
    <row r="90">
      <c r="B90" s="12"/>
      <c r="F90" s="13"/>
      <c r="G90" s="1"/>
    </row>
    <row r="91">
      <c r="B91" s="12"/>
      <c r="F91" s="13"/>
      <c r="G91" s="1"/>
    </row>
    <row r="92">
      <c r="B92" s="12"/>
      <c r="F92" s="13"/>
      <c r="G92" s="1"/>
    </row>
    <row r="93">
      <c r="B93" s="12"/>
      <c r="F93" s="13"/>
      <c r="G93" s="1"/>
    </row>
    <row r="94">
      <c r="B94" s="12"/>
      <c r="F94" s="13"/>
      <c r="G94" s="1"/>
    </row>
    <row r="95">
      <c r="B95" s="14"/>
      <c r="C95" s="15"/>
      <c r="D95" s="15"/>
      <c r="E95" s="15"/>
      <c r="F95" s="16"/>
      <c r="G95" s="1"/>
    </row>
    <row r="96">
      <c r="A96" s="2" t="s">
        <v>27</v>
      </c>
      <c r="B96" s="4" t="s">
        <v>12</v>
      </c>
      <c r="C96" s="5">
        <v>307.0</v>
      </c>
      <c r="D96" s="2">
        <v>2082645.0</v>
      </c>
      <c r="E96" s="5">
        <v>0.020826</v>
      </c>
      <c r="F96" s="6">
        <v>14740.0</v>
      </c>
      <c r="G96" s="1" t="s">
        <v>14</v>
      </c>
      <c r="H96" s="7">
        <f t="shared" ref="H96:K96" si="46">AVERAGE(C96:C105)</f>
        <v>307</v>
      </c>
      <c r="I96" s="7">
        <f t="shared" si="46"/>
        <v>2082644</v>
      </c>
      <c r="J96" s="7">
        <f t="shared" si="46"/>
        <v>0.020826</v>
      </c>
      <c r="K96" s="7">
        <f t="shared" si="46"/>
        <v>14740</v>
      </c>
      <c r="M96" s="3" t="s">
        <v>15</v>
      </c>
      <c r="N96" s="3">
        <v>3543.0</v>
      </c>
    </row>
    <row r="97">
      <c r="A97" s="1"/>
      <c r="B97" s="9"/>
      <c r="C97" s="2">
        <v>307.0</v>
      </c>
      <c r="D97" s="2">
        <v>2082645.0</v>
      </c>
      <c r="E97" s="5">
        <v>0.020826</v>
      </c>
      <c r="F97" s="6">
        <v>14740.0</v>
      </c>
      <c r="G97" s="1" t="s">
        <v>16</v>
      </c>
      <c r="H97" s="8">
        <f t="shared" ref="H97:K97" si="47">STDEV(C96:C105)</f>
        <v>0</v>
      </c>
      <c r="I97" s="8">
        <f t="shared" si="47"/>
        <v>1.154700538</v>
      </c>
      <c r="J97" s="8">
        <f t="shared" si="47"/>
        <v>0</v>
      </c>
      <c r="K97" s="8">
        <f t="shared" si="47"/>
        <v>0</v>
      </c>
      <c r="M97" s="3" t="s">
        <v>17</v>
      </c>
      <c r="N97" s="3">
        <v>3416.0</v>
      </c>
    </row>
    <row r="98">
      <c r="A98" s="1"/>
      <c r="B98" s="9"/>
      <c r="C98" s="2">
        <v>307.0</v>
      </c>
      <c r="D98" s="2">
        <v>2082643.0</v>
      </c>
      <c r="E98" s="5">
        <v>0.020826</v>
      </c>
      <c r="F98" s="6">
        <v>14740.0</v>
      </c>
      <c r="G98" s="1" t="s">
        <v>18</v>
      </c>
      <c r="H98" s="8">
        <f t="shared" ref="H98:K98" si="48">Min(C96:C105)</f>
        <v>307</v>
      </c>
      <c r="I98" s="8">
        <f t="shared" si="48"/>
        <v>2082643</v>
      </c>
      <c r="J98" s="8">
        <f t="shared" si="48"/>
        <v>0.020826</v>
      </c>
      <c r="K98" s="8">
        <f t="shared" si="48"/>
        <v>14740</v>
      </c>
      <c r="M98" s="3" t="s">
        <v>19</v>
      </c>
      <c r="N98" s="3">
        <v>32.0</v>
      </c>
    </row>
    <row r="99">
      <c r="A99" s="1"/>
      <c r="B99" s="9"/>
      <c r="C99" s="2">
        <v>307.0</v>
      </c>
      <c r="D99" s="2">
        <v>2082643.0</v>
      </c>
      <c r="E99" s="5">
        <v>0.020826</v>
      </c>
      <c r="F99" s="6">
        <v>14740.0</v>
      </c>
      <c r="G99" s="1" t="s">
        <v>20</v>
      </c>
      <c r="H99" s="8">
        <f t="shared" ref="H99:K99" si="49">MAX(C96:C105)</f>
        <v>307</v>
      </c>
      <c r="I99" s="8">
        <f t="shared" si="49"/>
        <v>2082645</v>
      </c>
      <c r="J99" s="8">
        <f t="shared" si="49"/>
        <v>0.020826</v>
      </c>
      <c r="K99" s="8">
        <f t="shared" si="49"/>
        <v>14740</v>
      </c>
    </row>
    <row r="100">
      <c r="A100" s="1"/>
      <c r="B100" s="9"/>
      <c r="C100" s="1"/>
      <c r="D100" s="1"/>
      <c r="E100" s="1"/>
      <c r="F100" s="11"/>
      <c r="G100" s="1"/>
    </row>
    <row r="101">
      <c r="A101" s="1"/>
      <c r="B101" s="9"/>
      <c r="C101" s="1"/>
      <c r="D101" s="1"/>
      <c r="E101" s="1"/>
      <c r="F101" s="11"/>
    </row>
    <row r="102">
      <c r="A102" s="1"/>
      <c r="B102" s="9"/>
      <c r="C102" s="1"/>
      <c r="D102" s="1"/>
      <c r="E102" s="1"/>
      <c r="F102" s="11"/>
    </row>
    <row r="103">
      <c r="A103" s="1"/>
      <c r="B103" s="9"/>
      <c r="C103" s="1"/>
      <c r="D103" s="1"/>
      <c r="E103" s="1"/>
      <c r="F103" s="11"/>
    </row>
    <row r="104">
      <c r="A104" s="1"/>
      <c r="B104" s="9"/>
      <c r="C104" s="1"/>
      <c r="D104" s="1"/>
      <c r="E104" s="1"/>
      <c r="F104" s="11"/>
    </row>
    <row r="105">
      <c r="A105" s="1"/>
      <c r="B105" s="9"/>
      <c r="C105" s="1"/>
      <c r="D105" s="1"/>
      <c r="E105" s="1"/>
      <c r="F105" s="11"/>
    </row>
    <row r="106">
      <c r="A106" s="1"/>
      <c r="B106" s="9" t="s">
        <v>21</v>
      </c>
      <c r="C106" s="5">
        <v>20010.0</v>
      </c>
      <c r="D106" s="2">
        <v>2.2695928E7</v>
      </c>
      <c r="E106" s="5">
        <v>0.226959</v>
      </c>
      <c r="F106" s="6">
        <v>88165.0</v>
      </c>
      <c r="G106" s="1" t="s">
        <v>14</v>
      </c>
      <c r="H106" s="7">
        <f t="shared" ref="H106:K106" si="50">AVERAGE(C106:C115)</f>
        <v>20010</v>
      </c>
      <c r="I106" s="7">
        <f t="shared" si="50"/>
        <v>22695921.25</v>
      </c>
      <c r="J106" s="7">
        <f t="shared" si="50"/>
        <v>0.226959</v>
      </c>
      <c r="K106" s="7">
        <f t="shared" si="50"/>
        <v>88165</v>
      </c>
    </row>
    <row r="107">
      <c r="A107" s="1"/>
      <c r="B107" s="9"/>
      <c r="C107" s="2">
        <v>20010.0</v>
      </c>
      <c r="D107" s="2">
        <v>2.2695901E7</v>
      </c>
      <c r="E107" s="2">
        <v>0.226959</v>
      </c>
      <c r="F107" s="10">
        <v>88165.0</v>
      </c>
      <c r="G107" s="1" t="s">
        <v>16</v>
      </c>
      <c r="H107" s="8">
        <f t="shared" ref="H107:K107" si="51">STDEV(C106:C115)</f>
        <v>0</v>
      </c>
      <c r="I107" s="8">
        <f t="shared" si="51"/>
        <v>13.5</v>
      </c>
      <c r="J107" s="8">
        <f t="shared" si="51"/>
        <v>0</v>
      </c>
      <c r="K107" s="8">
        <f t="shared" si="51"/>
        <v>0</v>
      </c>
    </row>
    <row r="108">
      <c r="A108" s="1"/>
      <c r="B108" s="9"/>
      <c r="C108" s="2">
        <v>20010.0</v>
      </c>
      <c r="D108" s="2">
        <v>2.2695928E7</v>
      </c>
      <c r="E108" s="2">
        <v>0.226959</v>
      </c>
      <c r="F108" s="10">
        <v>88165.0</v>
      </c>
      <c r="G108" s="1" t="s">
        <v>18</v>
      </c>
      <c r="H108" s="8">
        <f t="shared" ref="H108:K108" si="52">Min(C106:C115)</f>
        <v>20010</v>
      </c>
      <c r="I108" s="8">
        <f t="shared" si="52"/>
        <v>22695901</v>
      </c>
      <c r="J108" s="8">
        <f t="shared" si="52"/>
        <v>0.226959</v>
      </c>
      <c r="K108" s="8">
        <f t="shared" si="52"/>
        <v>88165</v>
      </c>
    </row>
    <row r="109">
      <c r="A109" s="1"/>
      <c r="B109" s="9"/>
      <c r="C109" s="2">
        <v>20010.0</v>
      </c>
      <c r="D109" s="2">
        <v>2.2695928E7</v>
      </c>
      <c r="E109" s="2">
        <v>0.226959</v>
      </c>
      <c r="F109" s="10">
        <v>88165.0</v>
      </c>
      <c r="G109" s="1" t="s">
        <v>20</v>
      </c>
      <c r="H109" s="8">
        <f t="shared" ref="H109:K109" si="53">MAX(C106:C115)</f>
        <v>20010</v>
      </c>
      <c r="I109" s="8">
        <f t="shared" si="53"/>
        <v>22695928</v>
      </c>
      <c r="J109" s="8">
        <f t="shared" si="53"/>
        <v>0.226959</v>
      </c>
      <c r="K109" s="8">
        <f t="shared" si="53"/>
        <v>88165</v>
      </c>
    </row>
    <row r="110">
      <c r="A110" s="1"/>
      <c r="B110" s="9"/>
      <c r="C110" s="1"/>
      <c r="D110" s="1"/>
      <c r="E110" s="1"/>
      <c r="F110" s="11"/>
      <c r="G110" s="1"/>
    </row>
    <row r="111">
      <c r="A111" s="1"/>
      <c r="B111" s="9"/>
      <c r="C111" s="1"/>
      <c r="D111" s="1"/>
      <c r="E111" s="1"/>
      <c r="F111" s="11"/>
      <c r="G111" s="1"/>
    </row>
    <row r="112">
      <c r="A112" s="1"/>
      <c r="B112" s="9"/>
      <c r="C112" s="1"/>
      <c r="D112" s="1"/>
      <c r="E112" s="1"/>
      <c r="F112" s="11"/>
      <c r="G112" s="1"/>
    </row>
    <row r="113">
      <c r="A113" s="1"/>
      <c r="B113" s="9"/>
      <c r="C113" s="1"/>
      <c r="D113" s="1"/>
      <c r="E113" s="1"/>
      <c r="F113" s="11"/>
      <c r="G113" s="1"/>
    </row>
    <row r="114">
      <c r="A114" s="1"/>
      <c r="B114" s="9"/>
      <c r="C114" s="1"/>
      <c r="D114" s="1"/>
      <c r="E114" s="1"/>
      <c r="F114" s="11"/>
      <c r="G114" s="1"/>
    </row>
    <row r="115">
      <c r="A115" s="1"/>
      <c r="B115" s="9"/>
      <c r="C115" s="1"/>
      <c r="D115" s="1"/>
      <c r="E115" s="1"/>
      <c r="F115" s="11"/>
      <c r="G115" s="1"/>
    </row>
    <row r="116">
      <c r="A116" s="1"/>
      <c r="B116" s="9" t="s">
        <v>22</v>
      </c>
      <c r="C116" s="2">
        <v>7914530.0</v>
      </c>
      <c r="D116" s="2">
        <v>1.0870584942E10</v>
      </c>
      <c r="E116" s="2">
        <v>108.705849</v>
      </c>
      <c r="F116" s="10">
        <v>72806.0</v>
      </c>
      <c r="G116" s="1" t="s">
        <v>14</v>
      </c>
      <c r="H116" s="7">
        <f t="shared" ref="H116:K116" si="54">AVERAGE(C116:C125)</f>
        <v>7914530</v>
      </c>
      <c r="I116" s="7">
        <f t="shared" si="54"/>
        <v>11631132613</v>
      </c>
      <c r="J116" s="7">
        <f t="shared" si="54"/>
        <v>116.3113255</v>
      </c>
      <c r="K116" s="7">
        <f t="shared" si="54"/>
        <v>68164.75</v>
      </c>
    </row>
    <row r="117">
      <c r="A117" s="1"/>
      <c r="B117" s="9"/>
      <c r="C117" s="2">
        <v>7914530.0</v>
      </c>
      <c r="D117" s="2">
        <v>1.1629921761E10</v>
      </c>
      <c r="E117" s="2">
        <v>116.299217</v>
      </c>
      <c r="F117" s="10">
        <v>68053.0</v>
      </c>
      <c r="G117" s="1" t="s">
        <v>16</v>
      </c>
      <c r="H117" s="8">
        <f t="shared" ref="H117:K117" si="55">STDEV(C116:C125)</f>
        <v>0</v>
      </c>
      <c r="I117" s="8">
        <f t="shared" si="55"/>
        <v>554303702.8</v>
      </c>
      <c r="J117" s="8">
        <f t="shared" si="55"/>
        <v>5.543036898</v>
      </c>
      <c r="K117" s="8">
        <f t="shared" si="55"/>
        <v>3337.360471</v>
      </c>
    </row>
    <row r="118">
      <c r="A118" s="1"/>
      <c r="B118" s="9"/>
      <c r="C118" s="2">
        <v>7914530.0</v>
      </c>
      <c r="D118" s="2">
        <v>1.1848938981E10</v>
      </c>
      <c r="E118" s="2">
        <v>118.489389</v>
      </c>
      <c r="F118" s="10">
        <v>66795.0</v>
      </c>
      <c r="G118" s="1" t="s">
        <v>18</v>
      </c>
      <c r="H118" s="8">
        <f t="shared" ref="H118:K118" si="56">Min(C116:C125)</f>
        <v>7914530</v>
      </c>
      <c r="I118" s="8">
        <f t="shared" si="56"/>
        <v>10870584942</v>
      </c>
      <c r="J118" s="8">
        <f t="shared" si="56"/>
        <v>108.705849</v>
      </c>
      <c r="K118" s="8">
        <f t="shared" si="56"/>
        <v>65005</v>
      </c>
    </row>
    <row r="119">
      <c r="A119" s="1"/>
      <c r="B119" s="9"/>
      <c r="C119" s="2">
        <v>7914530.0</v>
      </c>
      <c r="D119" s="2">
        <v>1.2175084766E10</v>
      </c>
      <c r="E119" s="2">
        <v>121.750847</v>
      </c>
      <c r="F119" s="10">
        <v>65005.0</v>
      </c>
      <c r="G119" s="1" t="s">
        <v>20</v>
      </c>
      <c r="H119" s="8">
        <f t="shared" ref="H119:K119" si="57">MAX(C116:C125)</f>
        <v>7914530</v>
      </c>
      <c r="I119" s="8">
        <f t="shared" si="57"/>
        <v>12175084766</v>
      </c>
      <c r="J119" s="8">
        <f t="shared" si="57"/>
        <v>121.750847</v>
      </c>
      <c r="K119" s="8">
        <f t="shared" si="57"/>
        <v>72806</v>
      </c>
    </row>
    <row r="120">
      <c r="B120" s="12"/>
      <c r="F120" s="13"/>
      <c r="G120" s="1"/>
    </row>
    <row r="121">
      <c r="B121" s="12"/>
      <c r="F121" s="13"/>
      <c r="G121" s="1"/>
    </row>
    <row r="122">
      <c r="B122" s="12"/>
      <c r="F122" s="13"/>
      <c r="G122" s="1"/>
    </row>
    <row r="123">
      <c r="B123" s="12"/>
      <c r="F123" s="13"/>
      <c r="G123" s="1"/>
    </row>
    <row r="124">
      <c r="B124" s="12"/>
      <c r="F124" s="13"/>
      <c r="G124" s="1"/>
    </row>
    <row r="125">
      <c r="B125" s="12"/>
      <c r="F125" s="13"/>
      <c r="G125" s="1"/>
    </row>
    <row r="126">
      <c r="B126" s="14"/>
      <c r="C126" s="15"/>
      <c r="D126" s="15"/>
      <c r="E126" s="15"/>
      <c r="F126" s="16"/>
      <c r="G126" s="1"/>
    </row>
    <row r="127">
      <c r="A127" s="2" t="s">
        <v>28</v>
      </c>
      <c r="B127" s="4" t="s">
        <v>12</v>
      </c>
      <c r="C127" s="5"/>
      <c r="D127" s="2"/>
      <c r="E127" s="5"/>
      <c r="F127" s="6"/>
      <c r="G127" s="1" t="s">
        <v>14</v>
      </c>
      <c r="H127" s="7" t="str">
        <f t="shared" ref="H127:K127" si="58">AVERAGE(C127:C136)</f>
        <v>#DIV/0!</v>
      </c>
      <c r="I127" s="7" t="str">
        <f t="shared" si="58"/>
        <v>#DIV/0!</v>
      </c>
      <c r="J127" s="7" t="str">
        <f t="shared" si="58"/>
        <v>#DIV/0!</v>
      </c>
      <c r="K127" s="7" t="str">
        <f t="shared" si="58"/>
        <v>#DIV/0!</v>
      </c>
      <c r="M127" s="3" t="s">
        <v>15</v>
      </c>
      <c r="N127" s="3">
        <v>3778.0</v>
      </c>
    </row>
    <row r="128">
      <c r="A128" s="1"/>
      <c r="B128" s="9"/>
      <c r="C128" s="2"/>
      <c r="D128" s="2"/>
      <c r="E128" s="2"/>
      <c r="F128" s="10"/>
      <c r="G128" s="1" t="s">
        <v>16</v>
      </c>
      <c r="H128" s="8" t="str">
        <f t="shared" ref="H128:K128" si="59">STDEV(C127:C136)</f>
        <v>#DIV/0!</v>
      </c>
      <c r="I128" s="8" t="str">
        <f t="shared" si="59"/>
        <v>#DIV/0!</v>
      </c>
      <c r="J128" s="8" t="str">
        <f t="shared" si="59"/>
        <v>#DIV/0!</v>
      </c>
      <c r="K128" s="8" t="str">
        <f t="shared" si="59"/>
        <v>#DIV/0!</v>
      </c>
      <c r="M128" s="3" t="s">
        <v>17</v>
      </c>
      <c r="N128" s="3">
        <v>3132.0</v>
      </c>
    </row>
    <row r="129">
      <c r="A129" s="1"/>
      <c r="B129" s="9"/>
      <c r="C129" s="2"/>
      <c r="D129" s="2"/>
      <c r="E129" s="2"/>
      <c r="F129" s="10"/>
      <c r="G129" s="1" t="s">
        <v>18</v>
      </c>
      <c r="H129" s="8">
        <f t="shared" ref="H129:K129" si="60">Min(C127:C136)</f>
        <v>0</v>
      </c>
      <c r="I129" s="8">
        <f t="shared" si="60"/>
        <v>0</v>
      </c>
      <c r="J129" s="8">
        <f t="shared" si="60"/>
        <v>0</v>
      </c>
      <c r="K129" s="8">
        <f t="shared" si="60"/>
        <v>0</v>
      </c>
      <c r="M129" s="3" t="s">
        <v>19</v>
      </c>
      <c r="N129" s="3">
        <v>38.0</v>
      </c>
    </row>
    <row r="130">
      <c r="A130" s="1"/>
      <c r="B130" s="9"/>
      <c r="C130" s="2"/>
      <c r="D130" s="2"/>
      <c r="E130" s="2"/>
      <c r="F130" s="10"/>
      <c r="G130" s="1" t="s">
        <v>20</v>
      </c>
      <c r="H130" s="8">
        <f t="shared" ref="H130:K130" si="61">MAX(C127:C136)</f>
        <v>0</v>
      </c>
      <c r="I130" s="8">
        <f t="shared" si="61"/>
        <v>0</v>
      </c>
      <c r="J130" s="8">
        <f t="shared" si="61"/>
        <v>0</v>
      </c>
      <c r="K130" s="8">
        <f t="shared" si="61"/>
        <v>0</v>
      </c>
    </row>
    <row r="131">
      <c r="A131" s="1"/>
      <c r="B131" s="9"/>
      <c r="C131" s="1"/>
      <c r="D131" s="1"/>
      <c r="E131" s="1"/>
      <c r="F131" s="11"/>
      <c r="G131" s="1"/>
    </row>
    <row r="132">
      <c r="A132" s="1"/>
      <c r="B132" s="9"/>
      <c r="C132" s="1"/>
      <c r="D132" s="1"/>
      <c r="E132" s="1"/>
      <c r="F132" s="11"/>
    </row>
    <row r="133">
      <c r="A133" s="1"/>
      <c r="B133" s="9"/>
      <c r="C133" s="1"/>
      <c r="D133" s="1"/>
      <c r="E133" s="1"/>
      <c r="F133" s="11"/>
    </row>
    <row r="134">
      <c r="A134" s="1"/>
      <c r="B134" s="9"/>
      <c r="C134" s="1"/>
      <c r="D134" s="1"/>
      <c r="E134" s="1"/>
      <c r="F134" s="11"/>
    </row>
    <row r="135">
      <c r="A135" s="1"/>
      <c r="B135" s="9"/>
      <c r="C135" s="1"/>
      <c r="D135" s="1"/>
      <c r="E135" s="1"/>
      <c r="F135" s="11"/>
    </row>
    <row r="136">
      <c r="A136" s="1"/>
      <c r="B136" s="9"/>
      <c r="C136" s="1"/>
      <c r="D136" s="1"/>
      <c r="E136" s="1"/>
      <c r="F136" s="11"/>
    </row>
    <row r="137">
      <c r="A137" s="1"/>
      <c r="B137" s="9" t="s">
        <v>21</v>
      </c>
      <c r="C137" s="2"/>
      <c r="D137" s="2"/>
      <c r="E137" s="2"/>
      <c r="F137" s="10"/>
      <c r="G137" s="1" t="s">
        <v>14</v>
      </c>
      <c r="H137" s="7" t="str">
        <f t="shared" ref="H137:K137" si="62">AVERAGE(C137:C146)</f>
        <v>#DIV/0!</v>
      </c>
      <c r="I137" s="7" t="str">
        <f t="shared" si="62"/>
        <v>#DIV/0!</v>
      </c>
      <c r="J137" s="7" t="str">
        <f t="shared" si="62"/>
        <v>#DIV/0!</v>
      </c>
      <c r="K137" s="7" t="str">
        <f t="shared" si="62"/>
        <v>#DIV/0!</v>
      </c>
    </row>
    <row r="138">
      <c r="A138" s="1"/>
      <c r="B138" s="9"/>
      <c r="C138" s="2"/>
      <c r="D138" s="2"/>
      <c r="E138" s="2"/>
      <c r="F138" s="10"/>
      <c r="G138" s="1" t="s">
        <v>16</v>
      </c>
      <c r="H138" s="8" t="str">
        <f t="shared" ref="H138:K138" si="63">STDEV(C137:C146)</f>
        <v>#DIV/0!</v>
      </c>
      <c r="I138" s="8" t="str">
        <f t="shared" si="63"/>
        <v>#DIV/0!</v>
      </c>
      <c r="J138" s="8" t="str">
        <f t="shared" si="63"/>
        <v>#DIV/0!</v>
      </c>
      <c r="K138" s="8" t="str">
        <f t="shared" si="63"/>
        <v>#DIV/0!</v>
      </c>
    </row>
    <row r="139">
      <c r="A139" s="1"/>
      <c r="B139" s="9"/>
      <c r="C139" s="2"/>
      <c r="D139" s="2"/>
      <c r="E139" s="2"/>
      <c r="F139" s="10"/>
      <c r="G139" s="1" t="s">
        <v>18</v>
      </c>
      <c r="H139" s="8">
        <f t="shared" ref="H139:K139" si="64">Min(C137:C146)</f>
        <v>0</v>
      </c>
      <c r="I139" s="8">
        <f t="shared" si="64"/>
        <v>0</v>
      </c>
      <c r="J139" s="8">
        <f t="shared" si="64"/>
        <v>0</v>
      </c>
      <c r="K139" s="8">
        <f t="shared" si="64"/>
        <v>0</v>
      </c>
    </row>
    <row r="140">
      <c r="A140" s="1"/>
      <c r="B140" s="9"/>
      <c r="C140" s="2"/>
      <c r="D140" s="2"/>
      <c r="E140" s="2"/>
      <c r="F140" s="10"/>
      <c r="G140" s="1" t="s">
        <v>20</v>
      </c>
      <c r="H140" s="8">
        <f t="shared" ref="H140:K140" si="65">MAX(C137:C146)</f>
        <v>0</v>
      </c>
      <c r="I140" s="8">
        <f t="shared" si="65"/>
        <v>0</v>
      </c>
      <c r="J140" s="8">
        <f t="shared" si="65"/>
        <v>0</v>
      </c>
      <c r="K140" s="8">
        <f t="shared" si="65"/>
        <v>0</v>
      </c>
    </row>
    <row r="141">
      <c r="A141" s="1"/>
      <c r="B141" s="9"/>
      <c r="C141" s="1"/>
      <c r="D141" s="1"/>
      <c r="E141" s="1"/>
      <c r="F141" s="11"/>
      <c r="G141" s="1"/>
    </row>
    <row r="142">
      <c r="A142" s="1"/>
      <c r="B142" s="9"/>
      <c r="C142" s="1"/>
      <c r="D142" s="1"/>
      <c r="E142" s="1"/>
      <c r="F142" s="11"/>
      <c r="G142" s="1"/>
    </row>
    <row r="143">
      <c r="A143" s="1"/>
      <c r="B143" s="9"/>
      <c r="C143" s="1"/>
      <c r="D143" s="1"/>
      <c r="E143" s="1"/>
      <c r="F143" s="11"/>
      <c r="G143" s="1"/>
    </row>
    <row r="144">
      <c r="A144" s="1"/>
      <c r="B144" s="9"/>
      <c r="C144" s="1"/>
      <c r="D144" s="1"/>
      <c r="E144" s="1"/>
      <c r="F144" s="11"/>
      <c r="G144" s="1"/>
    </row>
    <row r="145">
      <c r="A145" s="1"/>
      <c r="B145" s="9"/>
      <c r="C145" s="1"/>
      <c r="D145" s="1"/>
      <c r="E145" s="1"/>
      <c r="F145" s="11"/>
      <c r="G145" s="1"/>
    </row>
    <row r="146">
      <c r="A146" s="1"/>
      <c r="B146" s="9"/>
      <c r="C146" s="1"/>
      <c r="D146" s="1"/>
      <c r="E146" s="1"/>
      <c r="F146" s="11"/>
      <c r="G146" s="1"/>
    </row>
    <row r="147">
      <c r="A147" s="1"/>
      <c r="B147" s="9" t="s">
        <v>22</v>
      </c>
      <c r="C147" s="2"/>
      <c r="D147" s="2"/>
      <c r="E147" s="2"/>
      <c r="F147" s="10"/>
      <c r="G147" s="1" t="s">
        <v>14</v>
      </c>
      <c r="H147" s="7" t="str">
        <f t="shared" ref="H147:K147" si="66">AVERAGE(C147:C156)</f>
        <v>#DIV/0!</v>
      </c>
      <c r="I147" s="7" t="str">
        <f t="shared" si="66"/>
        <v>#DIV/0!</v>
      </c>
      <c r="J147" s="7" t="str">
        <f t="shared" si="66"/>
        <v>#DIV/0!</v>
      </c>
      <c r="K147" s="7" t="str">
        <f t="shared" si="66"/>
        <v>#DIV/0!</v>
      </c>
    </row>
    <row r="148">
      <c r="A148" s="1"/>
      <c r="B148" s="9"/>
      <c r="C148" s="2"/>
      <c r="D148" s="2"/>
      <c r="E148" s="2"/>
      <c r="F148" s="10"/>
      <c r="G148" s="1" t="s">
        <v>16</v>
      </c>
      <c r="H148" s="8" t="str">
        <f t="shared" ref="H148:K148" si="67">STDEV(C147:C156)</f>
        <v>#DIV/0!</v>
      </c>
      <c r="I148" s="8" t="str">
        <f t="shared" si="67"/>
        <v>#DIV/0!</v>
      </c>
      <c r="J148" s="8" t="str">
        <f t="shared" si="67"/>
        <v>#DIV/0!</v>
      </c>
      <c r="K148" s="8" t="str">
        <f t="shared" si="67"/>
        <v>#DIV/0!</v>
      </c>
    </row>
    <row r="149">
      <c r="A149" s="1"/>
      <c r="B149" s="9"/>
      <c r="C149" s="2"/>
      <c r="D149" s="2"/>
      <c r="E149" s="2"/>
      <c r="F149" s="10"/>
      <c r="G149" s="1" t="s">
        <v>18</v>
      </c>
      <c r="H149" s="8">
        <f t="shared" ref="H149:K149" si="68">Min(C147:C156)</f>
        <v>0</v>
      </c>
      <c r="I149" s="8">
        <f t="shared" si="68"/>
        <v>0</v>
      </c>
      <c r="J149" s="8">
        <f t="shared" si="68"/>
        <v>0</v>
      </c>
      <c r="K149" s="8">
        <f t="shared" si="68"/>
        <v>0</v>
      </c>
    </row>
    <row r="150">
      <c r="A150" s="1"/>
      <c r="B150" s="9"/>
      <c r="C150" s="2"/>
      <c r="D150" s="2"/>
      <c r="E150" s="2"/>
      <c r="F150" s="10"/>
      <c r="G150" s="1" t="s">
        <v>20</v>
      </c>
      <c r="H150" s="8">
        <f t="shared" ref="H150:K150" si="69">MAX(C147:C156)</f>
        <v>0</v>
      </c>
      <c r="I150" s="8">
        <f t="shared" si="69"/>
        <v>0</v>
      </c>
      <c r="J150" s="8">
        <f t="shared" si="69"/>
        <v>0</v>
      </c>
      <c r="K150" s="8">
        <f t="shared" si="69"/>
        <v>0</v>
      </c>
    </row>
    <row r="151">
      <c r="B151" s="12"/>
      <c r="F151" s="13"/>
      <c r="G151" s="1"/>
    </row>
    <row r="152">
      <c r="B152" s="12"/>
      <c r="F152" s="13"/>
      <c r="G152" s="1"/>
    </row>
    <row r="153">
      <c r="B153" s="12"/>
      <c r="F153" s="13"/>
      <c r="G153" s="1"/>
    </row>
    <row r="154">
      <c r="B154" s="12"/>
      <c r="F154" s="13"/>
      <c r="G154" s="1"/>
    </row>
    <row r="155">
      <c r="B155" s="12"/>
      <c r="F155" s="13"/>
      <c r="G155" s="1"/>
    </row>
    <row r="156">
      <c r="B156" s="12"/>
      <c r="F156" s="13"/>
      <c r="G156" s="1"/>
    </row>
    <row r="157">
      <c r="B157" s="14"/>
      <c r="C157" s="15"/>
      <c r="D157" s="15"/>
      <c r="E157" s="15"/>
      <c r="F157" s="16"/>
      <c r="G157" s="1"/>
    </row>
    <row r="158">
      <c r="A158" s="2"/>
      <c r="B158" s="4"/>
      <c r="C158" s="5"/>
      <c r="D158" s="2"/>
      <c r="E158" s="5"/>
      <c r="F158" s="6"/>
      <c r="G158" s="1"/>
    </row>
    <row r="159">
      <c r="A159" s="1"/>
      <c r="B159" s="9"/>
      <c r="C159" s="2"/>
      <c r="D159" s="2"/>
      <c r="E159" s="2"/>
      <c r="F159" s="10"/>
      <c r="G159" s="1"/>
    </row>
    <row r="160">
      <c r="A160" s="1"/>
      <c r="B160" s="9"/>
      <c r="C160" s="2"/>
      <c r="D160" s="2"/>
      <c r="E160" s="2"/>
      <c r="F160" s="10"/>
      <c r="G160" s="1"/>
    </row>
    <row r="161">
      <c r="A161" s="1"/>
      <c r="B161" s="9"/>
      <c r="C161" s="2"/>
      <c r="D161" s="2"/>
      <c r="E161" s="2"/>
      <c r="F161" s="10"/>
      <c r="G161" s="1"/>
    </row>
    <row r="162">
      <c r="A162" s="1"/>
      <c r="B162" s="9"/>
      <c r="C162" s="1"/>
      <c r="D162" s="1"/>
      <c r="E162" s="1"/>
      <c r="F162" s="11"/>
      <c r="G162" s="1"/>
    </row>
    <row r="163">
      <c r="A163" s="1"/>
      <c r="B163" s="9"/>
      <c r="C163" s="1"/>
      <c r="D163" s="1"/>
      <c r="E163" s="1"/>
      <c r="F163" s="11"/>
    </row>
    <row r="164">
      <c r="A164" s="1"/>
      <c r="B164" s="9"/>
      <c r="C164" s="1"/>
      <c r="D164" s="1"/>
      <c r="E164" s="1"/>
      <c r="F164" s="11"/>
    </row>
    <row r="165">
      <c r="A165" s="1"/>
      <c r="B165" s="9"/>
      <c r="C165" s="1"/>
      <c r="D165" s="1"/>
      <c r="E165" s="1"/>
      <c r="F165" s="11"/>
    </row>
    <row r="166">
      <c r="A166" s="1"/>
      <c r="B166" s="9"/>
      <c r="C166" s="1"/>
      <c r="D166" s="1"/>
      <c r="E166" s="1"/>
      <c r="F166" s="11"/>
    </row>
    <row r="167">
      <c r="A167" s="1"/>
      <c r="B167" s="9"/>
      <c r="C167" s="1"/>
      <c r="D167" s="1"/>
      <c r="E167" s="1"/>
      <c r="F167" s="11"/>
    </row>
    <row r="168">
      <c r="A168" s="1"/>
      <c r="B168" s="9"/>
      <c r="C168" s="2"/>
      <c r="D168" s="2"/>
      <c r="E168" s="2"/>
      <c r="F168" s="10"/>
      <c r="G168" s="1"/>
    </row>
    <row r="169">
      <c r="A169" s="1"/>
      <c r="B169" s="9"/>
      <c r="C169" s="2"/>
      <c r="D169" s="2"/>
      <c r="E169" s="2"/>
      <c r="F169" s="10"/>
      <c r="G169" s="1"/>
    </row>
    <row r="170">
      <c r="A170" s="1"/>
      <c r="B170" s="9"/>
      <c r="C170" s="2"/>
      <c r="D170" s="2"/>
      <c r="E170" s="2"/>
      <c r="F170" s="10"/>
      <c r="G170" s="1"/>
    </row>
    <row r="171">
      <c r="A171" s="1"/>
      <c r="B171" s="9"/>
      <c r="C171" s="2"/>
      <c r="D171" s="2"/>
      <c r="E171" s="2"/>
      <c r="F171" s="10"/>
      <c r="G171" s="1"/>
    </row>
    <row r="172">
      <c r="A172" s="1"/>
      <c r="B172" s="9"/>
      <c r="C172" s="1"/>
      <c r="D172" s="1"/>
      <c r="E172" s="1"/>
      <c r="F172" s="11"/>
      <c r="G172" s="1"/>
    </row>
    <row r="173">
      <c r="A173" s="1"/>
      <c r="B173" s="9"/>
      <c r="C173" s="1"/>
      <c r="D173" s="1"/>
      <c r="E173" s="1"/>
      <c r="F173" s="11"/>
      <c r="G173" s="1"/>
    </row>
    <row r="174">
      <c r="A174" s="1"/>
      <c r="B174" s="9"/>
      <c r="C174" s="1"/>
      <c r="D174" s="1"/>
      <c r="E174" s="1"/>
      <c r="F174" s="11"/>
      <c r="G174" s="1"/>
    </row>
    <row r="175">
      <c r="A175" s="1"/>
      <c r="B175" s="9"/>
      <c r="C175" s="1"/>
      <c r="D175" s="1"/>
      <c r="E175" s="1"/>
      <c r="F175" s="11"/>
      <c r="G175" s="1"/>
    </row>
    <row r="176">
      <c r="A176" s="1"/>
      <c r="B176" s="9"/>
      <c r="C176" s="1"/>
      <c r="D176" s="1"/>
      <c r="E176" s="1"/>
      <c r="F176" s="11"/>
      <c r="G176" s="1"/>
    </row>
    <row r="177">
      <c r="A177" s="1"/>
      <c r="B177" s="9"/>
      <c r="C177" s="1"/>
      <c r="D177" s="1"/>
      <c r="E177" s="1"/>
      <c r="F177" s="11"/>
      <c r="G177" s="1"/>
    </row>
    <row r="178">
      <c r="A178" s="1"/>
      <c r="B178" s="9"/>
      <c r="C178" s="2"/>
      <c r="D178" s="2"/>
      <c r="E178" s="2"/>
      <c r="F178" s="10"/>
      <c r="G178" s="1"/>
    </row>
    <row r="179">
      <c r="A179" s="1"/>
      <c r="B179" s="9"/>
      <c r="C179" s="2"/>
      <c r="D179" s="2"/>
      <c r="E179" s="2"/>
      <c r="F179" s="10"/>
      <c r="G179" s="1"/>
    </row>
    <row r="180">
      <c r="A180" s="1"/>
      <c r="B180" s="9"/>
      <c r="C180" s="2"/>
      <c r="D180" s="2"/>
      <c r="E180" s="2"/>
      <c r="F180" s="10"/>
      <c r="G180" s="1"/>
    </row>
    <row r="181">
      <c r="A181" s="1"/>
      <c r="B181" s="9"/>
      <c r="C181" s="2"/>
      <c r="D181" s="2"/>
      <c r="E181" s="2"/>
      <c r="F181" s="10"/>
      <c r="G181" s="1"/>
    </row>
    <row r="182">
      <c r="B182" s="12"/>
      <c r="F182" s="13"/>
      <c r="G182" s="1"/>
    </row>
    <row r="183">
      <c r="B183" s="12"/>
      <c r="F183" s="13"/>
      <c r="G183" s="1"/>
    </row>
    <row r="184">
      <c r="B184" s="12"/>
      <c r="F184" s="13"/>
      <c r="G184" s="1"/>
    </row>
    <row r="185">
      <c r="B185" s="12"/>
      <c r="F185" s="13"/>
      <c r="G185" s="1"/>
    </row>
    <row r="186">
      <c r="B186" s="12"/>
      <c r="F186" s="13"/>
      <c r="G186" s="1"/>
    </row>
    <row r="187">
      <c r="B187" s="12"/>
      <c r="F187" s="13"/>
      <c r="G187" s="1"/>
    </row>
    <row r="188">
      <c r="B188" s="14"/>
      <c r="C188" s="15"/>
      <c r="D188" s="15"/>
      <c r="E188" s="15"/>
      <c r="F188" s="16"/>
      <c r="G188" s="1"/>
    </row>
  </sheetData>
  <mergeCells count="1">
    <mergeCell ref="C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